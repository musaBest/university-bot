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UG\"/>
    </mc:Choice>
  </mc:AlternateContent>
  <xr:revisionPtr revIDLastSave="0" documentId="13_ncr:1_{50EEB95D-E7AA-4385-A157-FEA629EF3217}" xr6:coauthVersionLast="36" xr6:coauthVersionMax="36" xr10:uidLastSave="{00000000-0000-0000-0000-000000000000}"/>
  <bookViews>
    <workbookView xWindow="0" yWindow="0" windowWidth="17256" windowHeight="5568" xr2:uid="{CA1D7B25-07B9-420A-87BA-F79020F51CE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2" i="1" l="1"/>
  <c r="W14" i="1" s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T12" i="1"/>
  <c r="M12" i="1"/>
  <c r="M13" i="1" s="1"/>
  <c r="L12" i="1"/>
  <c r="E12" i="1"/>
  <c r="U11" i="1"/>
  <c r="M11" i="1"/>
  <c r="E11" i="1"/>
  <c r="U10" i="1"/>
  <c r="M10" i="1"/>
  <c r="E10" i="1"/>
  <c r="U9" i="1"/>
  <c r="M9" i="1"/>
  <c r="E9" i="1"/>
  <c r="U8" i="1"/>
  <c r="M8" i="1"/>
  <c r="E8" i="1"/>
  <c r="U7" i="1"/>
  <c r="M7" i="1"/>
  <c r="E7" i="1"/>
  <c r="U6" i="1"/>
  <c r="U12" i="1" s="1"/>
  <c r="U13" i="1" s="1"/>
  <c r="M6" i="1"/>
  <c r="E6" i="1"/>
  <c r="U5" i="1"/>
  <c r="M5" i="1"/>
  <c r="E5" i="1"/>
  <c r="E4" i="1"/>
  <c r="E3" i="1"/>
  <c r="E2" i="1"/>
  <c r="E62" i="1" s="1"/>
  <c r="E63" i="1" l="1"/>
  <c r="W13" i="1"/>
  <c r="U15" i="1" s="1"/>
  <c r="O13" i="1"/>
  <c r="O14" i="1"/>
  <c r="M15" i="1" l="1"/>
</calcChain>
</file>

<file path=xl/sharedStrings.xml><?xml version="1.0" encoding="utf-8"?>
<sst xmlns="http://schemas.openxmlformats.org/spreadsheetml/2006/main" count="175" uniqueCount="94">
  <si>
    <t>الفصل الدراسي</t>
  </si>
  <si>
    <t>المساق</t>
  </si>
  <si>
    <t>علامة المساق</t>
  </si>
  <si>
    <t>عدد ساعات المساق</t>
  </si>
  <si>
    <t>العلامة النهائية</t>
  </si>
  <si>
    <t>المستوى الأول
الفصل الأول</t>
  </si>
  <si>
    <t>اللغة العربية (النحو والصرف)</t>
  </si>
  <si>
    <t>جدول "طب لو جبت في هذا الفصل معدل X كم هيصير معدلي؟"</t>
  </si>
  <si>
    <t>مقدمة في الهندسة</t>
  </si>
  <si>
    <t>منهجية بحث علمي</t>
  </si>
  <si>
    <t xml:space="preserve">العلامة النهائية </t>
  </si>
  <si>
    <t>درجة أعمال الفصل</t>
  </si>
  <si>
    <t>النهاية العظمى للأعمال الفصلية</t>
  </si>
  <si>
    <t>رسم هندسي</t>
  </si>
  <si>
    <t>تفاضل وتكامل (أ)</t>
  </si>
  <si>
    <t>فيزياء عامة عملية (أ)</t>
  </si>
  <si>
    <t>فيزياء عامة (أ)</t>
  </si>
  <si>
    <t>قرآن كريم (1)</t>
  </si>
  <si>
    <t>دراسات في الفقه</t>
  </si>
  <si>
    <t>المستوى الأول
الفصل الثاني</t>
  </si>
  <si>
    <t>كيمياء عامة</t>
  </si>
  <si>
    <t>تقنية الورش</t>
  </si>
  <si>
    <t>المجموع:</t>
  </si>
  <si>
    <t>مقدمة في الحاسبات</t>
  </si>
  <si>
    <t>المعدل الفصلي:</t>
  </si>
  <si>
    <t>مجموع العلامات</t>
  </si>
  <si>
    <t>لغة إنجليزية تقنية</t>
  </si>
  <si>
    <t>مجموع الساعات</t>
  </si>
  <si>
    <t>دراسات في السيرة</t>
  </si>
  <si>
    <t>المعدل التراكمي:</t>
  </si>
  <si>
    <t>تفاضل وتكامل (ب)</t>
  </si>
  <si>
    <t>فيزياء عامة (ب)</t>
  </si>
  <si>
    <t>المستوى الثاني
الفصل الأول</t>
  </si>
  <si>
    <t>برمجة حاسوب (1)</t>
  </si>
  <si>
    <t>تصميم رقمي تجميعي</t>
  </si>
  <si>
    <t>دوائر كهربائية (1) (علمي)</t>
  </si>
  <si>
    <t>دوائر كهربائية (1) (اتصالات وتحكم)</t>
  </si>
  <si>
    <t>متطلب جامعة اختياري</t>
  </si>
  <si>
    <t>قرآن كريم (2)</t>
  </si>
  <si>
    <t>دراسات في القران وعلومه</t>
  </si>
  <si>
    <t>المستوى الثاني
الفصل الثاني</t>
  </si>
  <si>
    <t>برمجة حاسوب (2)</t>
  </si>
  <si>
    <t>تصميم رقمي تتابعي</t>
  </si>
  <si>
    <t>الكترونيات (1) عملي</t>
  </si>
  <si>
    <t>الكترونيات (1)</t>
  </si>
  <si>
    <t>معادلات تفاضلية عادية</t>
  </si>
  <si>
    <t>جبر خطي</t>
  </si>
  <si>
    <t>المستوى الثالث
الفصل الأول</t>
  </si>
  <si>
    <t>رياضيات متقطعة</t>
  </si>
  <si>
    <t>تراكيب بيانات وخوازميات</t>
  </si>
  <si>
    <t>إشارات وأنظمة خطية (عملي)</t>
  </si>
  <si>
    <t>إشارات وأنظمة خطية</t>
  </si>
  <si>
    <t>نظرية احتمالات وإحصاء</t>
  </si>
  <si>
    <t>قرآن كريم (3)</t>
  </si>
  <si>
    <t>المستوى الثالث
الفصل الثاني</t>
  </si>
  <si>
    <t>عمارة حاسبات</t>
  </si>
  <si>
    <t>نظم قواعد بيانات</t>
  </si>
  <si>
    <t>الكترونيات رقمية (عملي)</t>
  </si>
  <si>
    <t>أنظمة التحكم الخطية (عملي)</t>
  </si>
  <si>
    <t>الكترونيات رقمية</t>
  </si>
  <si>
    <t xml:space="preserve">أنظمة التحكم الخطية </t>
  </si>
  <si>
    <t>النظم الإسلامية</t>
  </si>
  <si>
    <t>المستوى الرابع
الفصل الأول</t>
  </si>
  <si>
    <t>دراسات في العقيدة</t>
  </si>
  <si>
    <t>نظم تشغيل</t>
  </si>
  <si>
    <t>اتصالات بيانات</t>
  </si>
  <si>
    <t>لغة تجميع</t>
  </si>
  <si>
    <t>قرآن كريم (4)</t>
  </si>
  <si>
    <t>المستوى الرابع
الفصل الثاني</t>
  </si>
  <si>
    <t>شبكات حاسوب</t>
  </si>
  <si>
    <t>نظم مغموسة</t>
  </si>
  <si>
    <t>لغات وصف معدات الحاسوب</t>
  </si>
  <si>
    <t>هندسة برمجيات</t>
  </si>
  <si>
    <t>المستوى الخامس
الفصل الأول</t>
  </si>
  <si>
    <t>حاضر العالم الإسلامي</t>
  </si>
  <si>
    <t>مشروع تخرج (1)</t>
  </si>
  <si>
    <t>مساق اختياري (1)</t>
  </si>
  <si>
    <t>مساق اختياري (2)</t>
  </si>
  <si>
    <t>دراسات فلسطينية</t>
  </si>
  <si>
    <t>المستوى الخامس
الفصل الثاني</t>
  </si>
  <si>
    <t>مشروع تخرج (2)</t>
  </si>
  <si>
    <t>دراسات في الحديث الشريف</t>
  </si>
  <si>
    <t>مساق اختياري (3)</t>
  </si>
  <si>
    <t>مساق اختياري (4)</t>
  </si>
  <si>
    <t>المعدل التراكمي</t>
  </si>
  <si>
    <t>سيجنال</t>
  </si>
  <si>
    <t>سيجنال عملي</t>
  </si>
  <si>
    <t>دسكريت</t>
  </si>
  <si>
    <t>دوائر عملي</t>
  </si>
  <si>
    <t>إحصاء</t>
  </si>
  <si>
    <t>قران 3</t>
  </si>
  <si>
    <t>جدول حساب درجة أعمال الفصل من مائة</t>
  </si>
  <si>
    <t>ستركتشر</t>
  </si>
  <si>
    <t>By: Eng. Ahmed Maher Al-Shaikh Khalil
From: Eng. Karam Salah Elradie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</si>
</sst>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rgb="FFFA7D00"/>
      <name val="Times New Roman"/>
      <family val="1"/>
      <scheme val="major"/>
    </font>
    <font>
      <sz val="14"/>
      <color theme="1"/>
      <name val="Times New Roman"/>
      <family val="1"/>
      <scheme val="major"/>
    </font>
    <font>
      <sz val="14"/>
      <color rgb="FF006100"/>
      <name val="Times New Roman"/>
      <family val="1"/>
      <scheme val="major"/>
    </font>
    <font>
      <sz val="14"/>
      <name val="Times New Roman"/>
      <family val="1"/>
      <scheme val="major"/>
    </font>
    <font>
      <sz val="14"/>
      <color rgb="FF9C5700"/>
      <name val="Times New Roman"/>
      <family val="1"/>
      <scheme val="major"/>
    </font>
    <font>
      <b/>
      <sz val="14"/>
      <color rgb="FF3F3F3F"/>
      <name val="Times New Roman"/>
      <family val="1"/>
      <scheme val="major"/>
    </font>
    <font>
      <i/>
      <sz val="14"/>
      <color theme="0"/>
      <name val="Comic Sans MS"/>
      <family val="4"/>
    </font>
    <font>
      <b/>
      <sz val="14"/>
      <color theme="1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4" borderId="1" applyNumberFormat="0" applyAlignment="0" applyProtection="0"/>
    <xf numFmtId="0" fontId="1" fillId="5" borderId="3" applyNumberFormat="0" applyFont="0" applyAlignment="0" applyProtection="0"/>
    <xf numFmtId="0" fontId="6" fillId="6" borderId="0" applyNumberFormat="0" applyBorder="0" applyAlignment="0" applyProtection="0"/>
  </cellStyleXfs>
  <cellXfs count="53">
    <xf numFmtId="0" fontId="0" fillId="0" borderId="0" xfId="0"/>
    <xf numFmtId="0" fontId="7" fillId="4" borderId="1" xfId="4" applyFont="1"/>
    <xf numFmtId="0" fontId="7" fillId="4" borderId="1" xfId="4" applyFont="1" applyAlignment="1">
      <alignment horizontal="center" vertical="center"/>
    </xf>
    <xf numFmtId="0" fontId="8" fillId="0" borderId="0" xfId="0" applyFont="1"/>
    <xf numFmtId="0" fontId="8" fillId="7" borderId="4" xfId="0" applyFont="1" applyFill="1" applyBorder="1" applyAlignment="1">
      <alignment vertical="center"/>
    </xf>
    <xf numFmtId="0" fontId="8" fillId="0" borderId="0" xfId="0" applyFont="1" applyAlignment="1"/>
    <xf numFmtId="0" fontId="9" fillId="2" borderId="4" xfId="1" applyFont="1" applyBorder="1"/>
    <xf numFmtId="0" fontId="9" fillId="2" borderId="4" xfId="1" applyFont="1" applyBorder="1" applyAlignment="1">
      <alignment vertical="center"/>
    </xf>
    <xf numFmtId="0" fontId="8" fillId="7" borderId="4" xfId="0" applyFont="1" applyFill="1" applyBorder="1"/>
    <xf numFmtId="0" fontId="8" fillId="7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0" fontId="8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1" fillId="3" borderId="4" xfId="2" applyFont="1" applyBorder="1"/>
    <xf numFmtId="0" fontId="11" fillId="3" borderId="4" xfId="2" applyFont="1" applyBorder="1" applyAlignment="1">
      <alignment vertical="center"/>
    </xf>
    <xf numFmtId="0" fontId="12" fillId="4" borderId="2" xfId="3" applyFont="1" applyAlignment="1">
      <alignment horizontal="center" vertical="center"/>
    </xf>
    <xf numFmtId="0" fontId="8" fillId="9" borderId="4" xfId="0" applyFont="1" applyFill="1" applyBorder="1"/>
    <xf numFmtId="0" fontId="8" fillId="9" borderId="4" xfId="0" applyFont="1" applyFill="1" applyBorder="1" applyAlignment="1">
      <alignment horizontal="center"/>
    </xf>
    <xf numFmtId="0" fontId="8" fillId="0" borderId="0" xfId="0" applyFont="1" applyAlignment="1">
      <alignment vertical="top" wrapText="1"/>
    </xf>
    <xf numFmtId="0" fontId="14" fillId="7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14" fillId="0" borderId="0" xfId="0" applyFont="1"/>
    <xf numFmtId="10" fontId="14" fillId="0" borderId="0" xfId="0" applyNumberFormat="1" applyFont="1"/>
    <xf numFmtId="0" fontId="9" fillId="2" borderId="5" xfId="1" applyFont="1" applyBorder="1" applyAlignment="1">
      <alignment horizontal="center" vertical="center" wrapText="1"/>
    </xf>
    <xf numFmtId="0" fontId="9" fillId="2" borderId="9" xfId="1" applyFont="1" applyBorder="1" applyAlignment="1">
      <alignment horizontal="center" vertical="center" wrapText="1"/>
    </xf>
    <xf numFmtId="0" fontId="9" fillId="2" borderId="10" xfId="1" applyFont="1" applyBorder="1" applyAlignment="1">
      <alignment horizontal="center" vertical="center" wrapText="1"/>
    </xf>
    <xf numFmtId="0" fontId="8" fillId="5" borderId="6" xfId="5" applyFont="1" applyBorder="1" applyAlignment="1">
      <alignment horizontal="center"/>
    </xf>
    <xf numFmtId="0" fontId="8" fillId="5" borderId="7" xfId="5" applyFont="1" applyBorder="1" applyAlignment="1">
      <alignment horizontal="center"/>
    </xf>
    <xf numFmtId="0" fontId="8" fillId="5" borderId="8" xfId="5" applyFont="1" applyBorder="1" applyAlignment="1">
      <alignment horizontal="center"/>
    </xf>
    <xf numFmtId="0" fontId="11" fillId="3" borderId="4" xfId="2" applyFont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/>
    </xf>
    <xf numFmtId="0" fontId="12" fillId="4" borderId="11" xfId="3" applyFont="1" applyBorder="1" applyAlignment="1">
      <alignment horizontal="right"/>
    </xf>
    <xf numFmtId="0" fontId="12" fillId="4" borderId="13" xfId="3" applyFont="1" applyBorder="1" applyAlignment="1">
      <alignment horizontal="right"/>
    </xf>
    <xf numFmtId="0" fontId="12" fillId="4" borderId="12" xfId="3" applyFont="1" applyBorder="1" applyAlignment="1">
      <alignment horizontal="right"/>
    </xf>
    <xf numFmtId="0" fontId="13" fillId="6" borderId="15" xfId="6" applyFont="1" applyBorder="1" applyAlignment="1">
      <alignment horizontal="left" vertical="center" wrapText="1"/>
    </xf>
    <xf numFmtId="0" fontId="13" fillId="6" borderId="14" xfId="6" applyFont="1" applyBorder="1" applyAlignment="1">
      <alignment horizontal="left" vertical="center" wrapText="1"/>
    </xf>
    <xf numFmtId="0" fontId="13" fillId="6" borderId="16" xfId="6" applyFont="1" applyBorder="1" applyAlignment="1">
      <alignment horizontal="left" vertical="center" wrapText="1"/>
    </xf>
    <xf numFmtId="0" fontId="13" fillId="6" borderId="17" xfId="6" applyFont="1" applyBorder="1" applyAlignment="1">
      <alignment horizontal="left" vertical="center" wrapText="1"/>
    </xf>
    <xf numFmtId="0" fontId="13" fillId="6" borderId="0" xfId="6" applyFont="1" applyBorder="1" applyAlignment="1">
      <alignment horizontal="left" vertical="center" wrapText="1"/>
    </xf>
    <xf numFmtId="0" fontId="13" fillId="6" borderId="18" xfId="6" applyFont="1" applyBorder="1" applyAlignment="1">
      <alignment horizontal="left" vertical="center" wrapText="1"/>
    </xf>
    <xf numFmtId="0" fontId="13" fillId="6" borderId="19" xfId="6" applyFont="1" applyBorder="1" applyAlignment="1">
      <alignment horizontal="left" vertical="center" wrapText="1"/>
    </xf>
    <xf numFmtId="0" fontId="13" fillId="6" borderId="20" xfId="6" applyFont="1" applyBorder="1" applyAlignment="1">
      <alignment horizontal="left" vertical="center" wrapText="1"/>
    </xf>
    <xf numFmtId="0" fontId="13" fillId="6" borderId="21" xfId="6" applyFont="1" applyBorder="1" applyAlignment="1">
      <alignment horizontal="left" vertical="center" wrapText="1"/>
    </xf>
    <xf numFmtId="0" fontId="11" fillId="3" borderId="4" xfId="2" applyFont="1" applyBorder="1" applyAlignment="1">
      <alignment horizontal="center" vertical="center" wrapText="1" readingOrder="2"/>
    </xf>
    <xf numFmtId="0" fontId="9" fillId="2" borderId="4" xfId="1" applyFont="1" applyBorder="1" applyAlignment="1">
      <alignment horizontal="center" vertical="center" wrapText="1" readingOrder="2"/>
    </xf>
    <xf numFmtId="0" fontId="9" fillId="2" borderId="4" xfId="1" applyFont="1" applyBorder="1" applyAlignment="1">
      <alignment horizontal="center" vertical="center" wrapText="1"/>
    </xf>
    <xf numFmtId="0" fontId="9" fillId="2" borderId="4" xfId="1" applyFont="1" applyBorder="1" applyAlignment="1">
      <alignment horizontal="center" vertical="center"/>
    </xf>
    <xf numFmtId="0" fontId="8" fillId="0" borderId="0" xfId="0" applyFont="1" applyBorder="1"/>
    <xf numFmtId="0" fontId="8" fillId="7" borderId="4" xfId="0" applyFont="1" applyFill="1" applyBorder="1" applyAlignment="1">
      <alignment horizontal="center"/>
    </xf>
  </cellXfs>
  <cellStyles count="7">
    <cellStyle name="إخراج" xfId="3" builtinId="21"/>
    <cellStyle name="تمييز1" xfId="6" builtinId="29"/>
    <cellStyle name="جيد" xfId="1" builtinId="26"/>
    <cellStyle name="حساب" xfId="4" builtinId="22"/>
    <cellStyle name="عادي" xfId="0" builtinId="0"/>
    <cellStyle name="محايد" xfId="2" builtinId="28"/>
    <cellStyle name="ملاحظة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B381-ADFC-4B84-B220-A4245BCEE671}">
  <dimension ref="A1:AS322"/>
  <sheetViews>
    <sheetView rightToLeft="1" tabSelected="1" topLeftCell="G1" zoomScale="73" zoomScaleNormal="88" workbookViewId="0">
      <selection activeCell="P16" sqref="P16"/>
    </sheetView>
  </sheetViews>
  <sheetFormatPr defaultRowHeight="18" x14ac:dyDescent="0.35"/>
  <cols>
    <col min="1" max="1" width="13.5" style="3" bestFit="1" customWidth="1"/>
    <col min="2" max="2" width="29" style="3" bestFit="1" customWidth="1"/>
    <col min="3" max="3" width="11.19921875" style="3" customWidth="1"/>
    <col min="4" max="4" width="15.5" style="3" bestFit="1" customWidth="1"/>
    <col min="5" max="5" width="12" style="3" bestFit="1" customWidth="1"/>
    <col min="6" max="6" width="8.796875" style="3"/>
    <col min="7" max="7" width="30.3984375" style="3" bestFit="1" customWidth="1"/>
    <col min="8" max="8" width="15.69921875" style="3" bestFit="1" customWidth="1"/>
    <col min="9" max="9" width="8.796875" style="3"/>
    <col min="10" max="10" width="23.09765625" style="3" bestFit="1" customWidth="1"/>
    <col min="11" max="11" width="10.8984375" style="3" bestFit="1" customWidth="1"/>
    <col min="12" max="12" width="15.19921875" style="3" bestFit="1" customWidth="1"/>
    <col min="13" max="13" width="13.59765625" style="3" bestFit="1" customWidth="1"/>
    <col min="14" max="14" width="14.19921875" style="3" bestFit="1" customWidth="1"/>
    <col min="15" max="15" width="15.296875" style="3" customWidth="1"/>
    <col min="16" max="16" width="8.796875" style="5"/>
    <col min="17" max="17" width="11.09765625" style="3" bestFit="1" customWidth="1"/>
    <col min="18" max="18" width="15.59765625" style="3" bestFit="1" customWidth="1"/>
    <col min="19" max="19" width="24.3984375" style="3" bestFit="1" customWidth="1"/>
    <col min="20" max="20" width="15.296875" style="3" bestFit="1" customWidth="1"/>
    <col min="21" max="21" width="12.59765625" style="3" bestFit="1" customWidth="1"/>
    <col min="22" max="22" width="13.69921875" style="3" bestFit="1" customWidth="1"/>
    <col min="23" max="23" width="14" style="3" customWidth="1"/>
    <col min="24" max="38" width="8.796875" style="3"/>
    <col min="39" max="39" width="10.69921875" style="3" bestFit="1" customWidth="1"/>
    <col min="40" max="40" width="8.796875" style="3"/>
    <col min="41" max="41" width="11.3984375" style="3" bestFit="1" customWidth="1"/>
    <col min="42" max="42" width="12.796875" style="3" bestFit="1" customWidth="1"/>
    <col min="43" max="43" width="24.3984375" style="3" customWidth="1"/>
    <col min="44" max="44" width="13" style="3" customWidth="1"/>
    <col min="45" max="16384" width="8.796875" style="3"/>
  </cols>
  <sheetData>
    <row r="1" spans="1:4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4" t="s">
        <v>1</v>
      </c>
      <c r="H1" s="4" t="s">
        <v>3</v>
      </c>
      <c r="AO1" s="22"/>
      <c r="AP1" s="21"/>
      <c r="AQ1" s="22"/>
    </row>
    <row r="2" spans="1:45" ht="18" customHeight="1" x14ac:dyDescent="0.35">
      <c r="A2" s="27" t="s">
        <v>5</v>
      </c>
      <c r="B2" s="6" t="s">
        <v>6</v>
      </c>
      <c r="C2" s="24">
        <v>0</v>
      </c>
      <c r="D2" s="24">
        <v>0</v>
      </c>
      <c r="E2" s="24">
        <f>C2*D2</f>
        <v>0</v>
      </c>
      <c r="G2" s="7" t="s">
        <v>6</v>
      </c>
      <c r="H2" s="24">
        <v>2</v>
      </c>
      <c r="J2" s="30" t="s">
        <v>7</v>
      </c>
      <c r="K2" s="31"/>
      <c r="L2" s="31"/>
      <c r="M2" s="31"/>
      <c r="N2" s="31"/>
      <c r="O2" s="32"/>
      <c r="Q2" s="30" t="s">
        <v>91</v>
      </c>
      <c r="R2" s="31"/>
      <c r="S2" s="31"/>
      <c r="T2" s="31"/>
      <c r="U2" s="32"/>
      <c r="AO2" s="22"/>
      <c r="AP2" s="22"/>
      <c r="AQ2" s="22"/>
      <c r="AR2" s="22"/>
      <c r="AS2" s="22"/>
    </row>
    <row r="3" spans="1:45" x14ac:dyDescent="0.35">
      <c r="A3" s="28"/>
      <c r="B3" s="6" t="s">
        <v>8</v>
      </c>
      <c r="C3" s="24">
        <v>0</v>
      </c>
      <c r="D3" s="24">
        <v>0</v>
      </c>
      <c r="E3" s="24">
        <f>C3*D3</f>
        <v>0</v>
      </c>
      <c r="G3" s="7" t="s">
        <v>8</v>
      </c>
      <c r="H3" s="24">
        <v>1</v>
      </c>
      <c r="AO3" s="22"/>
      <c r="AP3" s="22"/>
      <c r="AQ3" s="22"/>
      <c r="AR3" s="22"/>
      <c r="AS3" s="22"/>
    </row>
    <row r="4" spans="1:45" x14ac:dyDescent="0.35">
      <c r="A4" s="28"/>
      <c r="B4" s="6" t="s">
        <v>9</v>
      </c>
      <c r="C4" s="24">
        <v>0</v>
      </c>
      <c r="D4" s="24">
        <v>0</v>
      </c>
      <c r="E4" s="24">
        <f>C4*D4</f>
        <v>0</v>
      </c>
      <c r="G4" s="7" t="s">
        <v>9</v>
      </c>
      <c r="H4" s="24">
        <v>1</v>
      </c>
      <c r="J4" s="8" t="s">
        <v>1</v>
      </c>
      <c r="K4" s="8" t="s">
        <v>2</v>
      </c>
      <c r="L4" s="8" t="s">
        <v>3</v>
      </c>
      <c r="M4" s="9" t="s">
        <v>10</v>
      </c>
      <c r="Q4" s="8" t="s">
        <v>1</v>
      </c>
      <c r="R4" s="8" t="s">
        <v>11</v>
      </c>
      <c r="S4" s="8" t="s">
        <v>12</v>
      </c>
      <c r="T4" s="8" t="s">
        <v>3</v>
      </c>
      <c r="U4" s="9" t="s">
        <v>10</v>
      </c>
      <c r="AO4" s="22"/>
      <c r="AP4" s="22"/>
      <c r="AQ4" s="22"/>
      <c r="AR4" s="22"/>
      <c r="AS4" s="22"/>
    </row>
    <row r="5" spans="1:45" x14ac:dyDescent="0.35">
      <c r="A5" s="28"/>
      <c r="B5" s="6" t="s">
        <v>13</v>
      </c>
      <c r="C5" s="24">
        <v>0</v>
      </c>
      <c r="D5" s="24">
        <v>0</v>
      </c>
      <c r="E5" s="24">
        <f t="shared" ref="E5:E61" si="0">C5*D5</f>
        <v>0</v>
      </c>
      <c r="G5" s="7" t="s">
        <v>13</v>
      </c>
      <c r="H5" s="24">
        <v>2</v>
      </c>
      <c r="J5" s="10" t="s">
        <v>88</v>
      </c>
      <c r="K5" s="11">
        <v>0</v>
      </c>
      <c r="L5" s="12">
        <v>0</v>
      </c>
      <c r="M5" s="11">
        <f>K5*L5</f>
        <v>0</v>
      </c>
      <c r="Q5" s="10" t="s">
        <v>88</v>
      </c>
      <c r="R5" s="11">
        <v>0</v>
      </c>
      <c r="S5" s="11">
        <v>1</v>
      </c>
      <c r="T5" s="12">
        <v>0</v>
      </c>
      <c r="U5" s="11">
        <f t="shared" ref="U5:U11" si="1">(R5/S5)*100*T5</f>
        <v>0</v>
      </c>
      <c r="AO5" s="22"/>
      <c r="AP5" s="22"/>
      <c r="AQ5" s="22"/>
      <c r="AR5" s="22"/>
      <c r="AS5" s="22"/>
    </row>
    <row r="6" spans="1:45" ht="18" customHeight="1" x14ac:dyDescent="0.35">
      <c r="A6" s="28"/>
      <c r="B6" s="6" t="s">
        <v>14</v>
      </c>
      <c r="C6" s="24">
        <v>0</v>
      </c>
      <c r="D6" s="24">
        <v>0</v>
      </c>
      <c r="E6" s="24">
        <f t="shared" si="0"/>
        <v>0</v>
      </c>
      <c r="G6" s="7" t="s">
        <v>14</v>
      </c>
      <c r="H6" s="24">
        <v>3</v>
      </c>
      <c r="J6" s="10" t="s">
        <v>87</v>
      </c>
      <c r="K6" s="11">
        <v>0</v>
      </c>
      <c r="L6" s="12">
        <v>0</v>
      </c>
      <c r="M6" s="11">
        <f t="shared" ref="M6:M11" si="2">K6*L6</f>
        <v>0</v>
      </c>
      <c r="Q6" s="10" t="s">
        <v>87</v>
      </c>
      <c r="R6" s="11">
        <v>0</v>
      </c>
      <c r="S6" s="11">
        <v>1</v>
      </c>
      <c r="T6" s="12">
        <v>0</v>
      </c>
      <c r="U6" s="11">
        <f t="shared" si="1"/>
        <v>0</v>
      </c>
      <c r="AO6" s="22"/>
      <c r="AP6" s="22"/>
      <c r="AQ6" s="22"/>
      <c r="AR6" s="22"/>
      <c r="AS6" s="22"/>
    </row>
    <row r="7" spans="1:45" x14ac:dyDescent="0.35">
      <c r="A7" s="28"/>
      <c r="B7" s="6" t="s">
        <v>15</v>
      </c>
      <c r="C7" s="24">
        <v>0</v>
      </c>
      <c r="D7" s="24">
        <v>0</v>
      </c>
      <c r="E7" s="24">
        <f t="shared" si="0"/>
        <v>0</v>
      </c>
      <c r="G7" s="7" t="s">
        <v>15</v>
      </c>
      <c r="H7" s="24">
        <v>1</v>
      </c>
      <c r="J7" s="10" t="s">
        <v>92</v>
      </c>
      <c r="K7" s="11">
        <v>0</v>
      </c>
      <c r="L7" s="12">
        <v>0</v>
      </c>
      <c r="M7" s="11">
        <f t="shared" si="2"/>
        <v>0</v>
      </c>
      <c r="Q7" s="10" t="s">
        <v>92</v>
      </c>
      <c r="R7" s="11">
        <v>0</v>
      </c>
      <c r="S7" s="11">
        <v>1</v>
      </c>
      <c r="T7" s="12">
        <v>0</v>
      </c>
      <c r="U7" s="11">
        <f t="shared" si="1"/>
        <v>0</v>
      </c>
      <c r="AO7" s="22"/>
      <c r="AP7" s="22"/>
      <c r="AQ7" s="22"/>
      <c r="AR7" s="22"/>
      <c r="AS7" s="22"/>
    </row>
    <row r="8" spans="1:45" x14ac:dyDescent="0.35">
      <c r="A8" s="28"/>
      <c r="B8" s="6" t="s">
        <v>16</v>
      </c>
      <c r="C8" s="24">
        <v>0</v>
      </c>
      <c r="D8" s="24">
        <v>0</v>
      </c>
      <c r="E8" s="24">
        <f t="shared" si="0"/>
        <v>0</v>
      </c>
      <c r="G8" s="7" t="s">
        <v>16</v>
      </c>
      <c r="H8" s="24">
        <v>3</v>
      </c>
      <c r="J8" s="10" t="s">
        <v>89</v>
      </c>
      <c r="K8" s="11">
        <v>0</v>
      </c>
      <c r="L8" s="12">
        <v>0</v>
      </c>
      <c r="M8" s="11">
        <f t="shared" si="2"/>
        <v>0</v>
      </c>
      <c r="Q8" s="10" t="s">
        <v>89</v>
      </c>
      <c r="R8" s="11">
        <v>0</v>
      </c>
      <c r="S8" s="11">
        <v>1</v>
      </c>
      <c r="T8" s="12">
        <v>0</v>
      </c>
      <c r="U8" s="11">
        <f t="shared" si="1"/>
        <v>0</v>
      </c>
      <c r="AO8" s="22"/>
      <c r="AP8" s="22"/>
      <c r="AQ8" s="22"/>
      <c r="AR8" s="22"/>
      <c r="AS8" s="22"/>
    </row>
    <row r="9" spans="1:45" x14ac:dyDescent="0.35">
      <c r="A9" s="28"/>
      <c r="B9" s="6" t="s">
        <v>17</v>
      </c>
      <c r="C9" s="24">
        <v>0</v>
      </c>
      <c r="D9" s="24">
        <v>0</v>
      </c>
      <c r="E9" s="24">
        <f t="shared" si="0"/>
        <v>0</v>
      </c>
      <c r="G9" s="7" t="s">
        <v>17</v>
      </c>
      <c r="H9" s="24">
        <v>1</v>
      </c>
      <c r="J9" s="10" t="s">
        <v>85</v>
      </c>
      <c r="K9" s="11">
        <v>0</v>
      </c>
      <c r="L9" s="12">
        <v>0</v>
      </c>
      <c r="M9" s="11">
        <f t="shared" si="2"/>
        <v>0</v>
      </c>
      <c r="Q9" s="10" t="s">
        <v>85</v>
      </c>
      <c r="R9" s="11">
        <v>0</v>
      </c>
      <c r="S9" s="11">
        <v>1</v>
      </c>
      <c r="T9" s="12">
        <v>0</v>
      </c>
      <c r="U9" s="11">
        <f t="shared" si="1"/>
        <v>0</v>
      </c>
      <c r="AO9" s="22"/>
      <c r="AP9" s="22"/>
      <c r="AQ9" s="22"/>
      <c r="AR9" s="22"/>
      <c r="AS9" s="22"/>
    </row>
    <row r="10" spans="1:45" x14ac:dyDescent="0.35">
      <c r="A10" s="29"/>
      <c r="B10" s="6" t="s">
        <v>18</v>
      </c>
      <c r="C10" s="24">
        <v>0</v>
      </c>
      <c r="D10" s="24">
        <v>0</v>
      </c>
      <c r="E10" s="24">
        <f t="shared" si="0"/>
        <v>0</v>
      </c>
      <c r="G10" s="7" t="s">
        <v>18</v>
      </c>
      <c r="H10" s="24">
        <v>2</v>
      </c>
      <c r="J10" s="10" t="s">
        <v>86</v>
      </c>
      <c r="K10" s="11">
        <v>0</v>
      </c>
      <c r="L10" s="12">
        <v>0</v>
      </c>
      <c r="M10" s="11">
        <f t="shared" si="2"/>
        <v>0</v>
      </c>
      <c r="Q10" s="10" t="s">
        <v>86</v>
      </c>
      <c r="R10" s="11">
        <v>0</v>
      </c>
      <c r="S10" s="11">
        <v>1</v>
      </c>
      <c r="T10" s="12">
        <v>0</v>
      </c>
      <c r="U10" s="11">
        <f t="shared" si="1"/>
        <v>0</v>
      </c>
      <c r="AO10" s="22"/>
      <c r="AP10" s="22"/>
      <c r="AQ10" s="22"/>
      <c r="AR10" s="22"/>
      <c r="AS10" s="22"/>
    </row>
    <row r="11" spans="1:45" ht="18" customHeight="1" x14ac:dyDescent="0.35">
      <c r="A11" s="33" t="s">
        <v>19</v>
      </c>
      <c r="B11" s="13" t="s">
        <v>20</v>
      </c>
      <c r="C11" s="23">
        <v>0</v>
      </c>
      <c r="D11" s="23">
        <v>0</v>
      </c>
      <c r="E11" s="23">
        <f t="shared" si="0"/>
        <v>0</v>
      </c>
      <c r="G11" s="14" t="s">
        <v>20</v>
      </c>
      <c r="H11" s="23">
        <v>3</v>
      </c>
      <c r="J11" s="10" t="s">
        <v>90</v>
      </c>
      <c r="K11" s="11">
        <v>0</v>
      </c>
      <c r="L11" s="12">
        <v>0</v>
      </c>
      <c r="M11" s="11">
        <f t="shared" si="2"/>
        <v>0</v>
      </c>
      <c r="Q11" s="10" t="s">
        <v>90</v>
      </c>
      <c r="R11" s="11">
        <v>0</v>
      </c>
      <c r="S11" s="11">
        <v>1</v>
      </c>
      <c r="T11" s="12">
        <v>0</v>
      </c>
      <c r="U11" s="11">
        <f t="shared" si="1"/>
        <v>0</v>
      </c>
      <c r="AO11" s="22"/>
      <c r="AP11" s="22"/>
      <c r="AQ11" s="22"/>
      <c r="AR11" s="22"/>
      <c r="AS11" s="22"/>
    </row>
    <row r="12" spans="1:45" x14ac:dyDescent="0.35">
      <c r="A12" s="34"/>
      <c r="B12" s="13" t="s">
        <v>21</v>
      </c>
      <c r="C12" s="23">
        <v>0</v>
      </c>
      <c r="D12" s="23">
        <v>0</v>
      </c>
      <c r="E12" s="23">
        <f t="shared" si="0"/>
        <v>0</v>
      </c>
      <c r="G12" s="14" t="s">
        <v>21</v>
      </c>
      <c r="H12" s="23">
        <v>1</v>
      </c>
      <c r="J12" s="35" t="s">
        <v>22</v>
      </c>
      <c r="K12" s="37"/>
      <c r="L12" s="15">
        <f t="shared" ref="L12:M12" si="3">SUM(L5:L11)</f>
        <v>0</v>
      </c>
      <c r="M12" s="15">
        <f t="shared" si="3"/>
        <v>0</v>
      </c>
      <c r="Q12" s="35" t="s">
        <v>22</v>
      </c>
      <c r="R12" s="36"/>
      <c r="S12" s="37"/>
      <c r="T12" s="15">
        <f t="shared" ref="T12" si="4">SUM(T5:T11)</f>
        <v>0</v>
      </c>
      <c r="U12" s="15">
        <f>SUM(U5:U11)</f>
        <v>0</v>
      </c>
      <c r="AO12" s="22"/>
      <c r="AP12" s="22"/>
      <c r="AQ12" s="22"/>
      <c r="AR12" s="22"/>
      <c r="AS12" s="22"/>
    </row>
    <row r="13" spans="1:45" x14ac:dyDescent="0.35">
      <c r="A13" s="34"/>
      <c r="B13" s="13" t="s">
        <v>23</v>
      </c>
      <c r="C13" s="23">
        <v>0</v>
      </c>
      <c r="D13" s="23">
        <v>0</v>
      </c>
      <c r="E13" s="23">
        <f t="shared" si="0"/>
        <v>0</v>
      </c>
      <c r="G13" s="14" t="s">
        <v>23</v>
      </c>
      <c r="H13" s="23">
        <v>2</v>
      </c>
      <c r="L13" s="16" t="s">
        <v>24</v>
      </c>
      <c r="M13" s="17" t="e">
        <f>M12/L12</f>
        <v>#DIV/0!</v>
      </c>
      <c r="N13" s="17" t="s">
        <v>25</v>
      </c>
      <c r="O13" s="17">
        <f>SUM(E62+M12)</f>
        <v>0</v>
      </c>
      <c r="T13" s="16" t="s">
        <v>24</v>
      </c>
      <c r="U13" s="17" t="e">
        <f>U12/T12</f>
        <v>#DIV/0!</v>
      </c>
      <c r="V13" s="17" t="s">
        <v>25</v>
      </c>
      <c r="W13" s="17">
        <f>SUM(E62+U12)</f>
        <v>0</v>
      </c>
      <c r="AO13" s="22"/>
      <c r="AP13" s="22"/>
      <c r="AQ13" s="22"/>
      <c r="AR13" s="22"/>
      <c r="AS13" s="22"/>
    </row>
    <row r="14" spans="1:45" x14ac:dyDescent="0.35">
      <c r="A14" s="34"/>
      <c r="B14" s="13" t="s">
        <v>26</v>
      </c>
      <c r="C14" s="23">
        <v>0</v>
      </c>
      <c r="D14" s="23">
        <v>0</v>
      </c>
      <c r="E14" s="23">
        <f t="shared" si="0"/>
        <v>0</v>
      </c>
      <c r="G14" s="14" t="s">
        <v>26</v>
      </c>
      <c r="H14" s="23">
        <v>3</v>
      </c>
      <c r="J14"/>
      <c r="N14" s="17" t="s">
        <v>27</v>
      </c>
      <c r="O14" s="17">
        <f>SUM(D62+L12)</f>
        <v>0</v>
      </c>
      <c r="V14" s="17" t="s">
        <v>27</v>
      </c>
      <c r="W14" s="17">
        <f>SUM(D62+T12)</f>
        <v>0</v>
      </c>
      <c r="AI14" s="26"/>
      <c r="AJ14" s="25"/>
      <c r="AK14" s="26"/>
      <c r="AO14" s="22"/>
      <c r="AP14" s="22"/>
      <c r="AQ14" s="22"/>
      <c r="AR14" s="22"/>
      <c r="AS14" s="22"/>
    </row>
    <row r="15" spans="1:45" ht="18" customHeight="1" x14ac:dyDescent="0.35">
      <c r="A15" s="34"/>
      <c r="B15" s="13" t="s">
        <v>28</v>
      </c>
      <c r="C15" s="23">
        <v>0</v>
      </c>
      <c r="D15" s="23">
        <v>0</v>
      </c>
      <c r="E15" s="23">
        <f t="shared" si="0"/>
        <v>0</v>
      </c>
      <c r="G15" s="14" t="s">
        <v>28</v>
      </c>
      <c r="H15" s="23">
        <v>2</v>
      </c>
      <c r="L15" s="16" t="s">
        <v>29</v>
      </c>
      <c r="M15" s="17" t="e">
        <f>O13/O14</f>
        <v>#DIV/0!</v>
      </c>
      <c r="T15" s="16" t="s">
        <v>29</v>
      </c>
      <c r="U15" s="17" t="e">
        <f>W13/W14</f>
        <v>#DIV/0!</v>
      </c>
      <c r="AO15" s="22"/>
      <c r="AP15" s="22"/>
      <c r="AQ15" s="22"/>
      <c r="AR15" s="22"/>
      <c r="AS15" s="22"/>
    </row>
    <row r="16" spans="1:45" x14ac:dyDescent="0.35">
      <c r="A16" s="34"/>
      <c r="B16" s="13" t="s">
        <v>30</v>
      </c>
      <c r="C16" s="23">
        <v>0</v>
      </c>
      <c r="D16" s="23">
        <v>0</v>
      </c>
      <c r="E16" s="23">
        <f t="shared" si="0"/>
        <v>0</v>
      </c>
      <c r="G16" s="14" t="s">
        <v>30</v>
      </c>
      <c r="H16" s="23">
        <v>4</v>
      </c>
      <c r="AO16" s="22"/>
      <c r="AP16" s="22"/>
      <c r="AQ16" s="22"/>
      <c r="AR16" s="22"/>
      <c r="AS16" s="22"/>
    </row>
    <row r="17" spans="1:45" x14ac:dyDescent="0.35">
      <c r="A17" s="34"/>
      <c r="B17" s="13" t="s">
        <v>31</v>
      </c>
      <c r="C17" s="23">
        <v>0</v>
      </c>
      <c r="D17" s="23">
        <v>0</v>
      </c>
      <c r="E17" s="23">
        <f t="shared" si="0"/>
        <v>0</v>
      </c>
      <c r="G17" s="14" t="s">
        <v>31</v>
      </c>
      <c r="H17" s="23">
        <v>3</v>
      </c>
      <c r="AO17" s="22"/>
      <c r="AP17" s="22"/>
      <c r="AQ17" s="22"/>
      <c r="AR17" s="22"/>
      <c r="AS17" s="22"/>
    </row>
    <row r="18" spans="1:45" ht="18.600000000000001" customHeight="1" thickBot="1" x14ac:dyDescent="0.4">
      <c r="A18" s="49" t="s">
        <v>32</v>
      </c>
      <c r="B18" s="6" t="s">
        <v>33</v>
      </c>
      <c r="C18" s="24">
        <v>0</v>
      </c>
      <c r="D18" s="24">
        <v>0</v>
      </c>
      <c r="E18" s="24">
        <f t="shared" si="0"/>
        <v>0</v>
      </c>
      <c r="G18" s="7" t="s">
        <v>33</v>
      </c>
      <c r="H18" s="24">
        <v>4</v>
      </c>
      <c r="AO18" s="22"/>
      <c r="AP18" s="22"/>
      <c r="AQ18" s="22"/>
      <c r="AR18" s="22"/>
      <c r="AS18" s="22"/>
    </row>
    <row r="19" spans="1:45" ht="18" customHeight="1" x14ac:dyDescent="0.35">
      <c r="A19" s="50"/>
      <c r="B19" s="6" t="s">
        <v>34</v>
      </c>
      <c r="C19" s="24">
        <v>0</v>
      </c>
      <c r="D19" s="24">
        <v>0</v>
      </c>
      <c r="E19" s="24">
        <f t="shared" si="0"/>
        <v>0</v>
      </c>
      <c r="G19" s="7" t="s">
        <v>34</v>
      </c>
      <c r="H19" s="24">
        <v>4</v>
      </c>
      <c r="J19" s="18"/>
      <c r="K19" s="18"/>
      <c r="L19" s="38" t="s">
        <v>93</v>
      </c>
      <c r="M19" s="39"/>
      <c r="N19" s="39"/>
      <c r="O19" s="40"/>
      <c r="AO19" s="22"/>
      <c r="AP19" s="22"/>
      <c r="AQ19" s="22"/>
      <c r="AR19" s="22"/>
    </row>
    <row r="20" spans="1:45" ht="18" customHeight="1" x14ac:dyDescent="0.35">
      <c r="A20" s="50"/>
      <c r="B20" s="6" t="s">
        <v>35</v>
      </c>
      <c r="C20" s="24">
        <v>0</v>
      </c>
      <c r="D20" s="24">
        <v>0</v>
      </c>
      <c r="E20" s="24">
        <f t="shared" si="0"/>
        <v>0</v>
      </c>
      <c r="G20" s="7" t="s">
        <v>35</v>
      </c>
      <c r="H20" s="24">
        <v>1</v>
      </c>
      <c r="J20" s="18"/>
      <c r="K20" s="18"/>
      <c r="L20" s="41"/>
      <c r="M20" s="42"/>
      <c r="N20" s="42"/>
      <c r="O20" s="43"/>
      <c r="AO20" s="22"/>
      <c r="AP20" s="22"/>
      <c r="AQ20" s="22"/>
      <c r="AR20" s="22"/>
    </row>
    <row r="21" spans="1:45" ht="18" customHeight="1" thickBot="1" x14ac:dyDescent="0.4">
      <c r="A21" s="50"/>
      <c r="B21" s="6" t="s">
        <v>36</v>
      </c>
      <c r="C21" s="24">
        <v>0</v>
      </c>
      <c r="D21" s="24">
        <v>0</v>
      </c>
      <c r="E21" s="24">
        <f t="shared" si="0"/>
        <v>0</v>
      </c>
      <c r="G21" s="7" t="s">
        <v>36</v>
      </c>
      <c r="H21" s="24">
        <v>3</v>
      </c>
      <c r="L21" s="44"/>
      <c r="M21" s="45"/>
      <c r="N21" s="45"/>
      <c r="O21" s="46"/>
      <c r="AO21" s="22"/>
      <c r="AP21" s="22"/>
      <c r="AQ21" s="22"/>
      <c r="AR21" s="22"/>
    </row>
    <row r="22" spans="1:45" ht="18" customHeight="1" x14ac:dyDescent="0.35">
      <c r="A22" s="50"/>
      <c r="B22" s="6" t="s">
        <v>37</v>
      </c>
      <c r="C22" s="24">
        <v>0</v>
      </c>
      <c r="D22" s="24">
        <v>0</v>
      </c>
      <c r="E22" s="24">
        <f t="shared" si="0"/>
        <v>0</v>
      </c>
      <c r="G22" s="7" t="s">
        <v>37</v>
      </c>
      <c r="H22" s="24">
        <v>2</v>
      </c>
      <c r="AO22" s="22"/>
      <c r="AP22" s="22"/>
      <c r="AQ22" s="22"/>
      <c r="AR22" s="22"/>
    </row>
    <row r="23" spans="1:45" ht="18" customHeight="1" x14ac:dyDescent="0.35">
      <c r="A23" s="50"/>
      <c r="B23" s="6" t="s">
        <v>38</v>
      </c>
      <c r="C23" s="24">
        <v>0</v>
      </c>
      <c r="D23" s="24">
        <v>0</v>
      </c>
      <c r="E23" s="24">
        <f>C23*D23</f>
        <v>0</v>
      </c>
      <c r="G23" s="7" t="s">
        <v>38</v>
      </c>
      <c r="H23" s="24">
        <v>1</v>
      </c>
      <c r="AO23" s="22"/>
      <c r="AP23" s="22"/>
      <c r="AQ23" s="22"/>
      <c r="AR23" s="22"/>
    </row>
    <row r="24" spans="1:45" ht="18" customHeight="1" x14ac:dyDescent="0.35">
      <c r="A24" s="50"/>
      <c r="B24" s="6" t="s">
        <v>39</v>
      </c>
      <c r="C24" s="24">
        <v>0</v>
      </c>
      <c r="D24" s="24">
        <v>0</v>
      </c>
      <c r="E24" s="24">
        <f t="shared" si="0"/>
        <v>0</v>
      </c>
      <c r="G24" s="7" t="s">
        <v>39</v>
      </c>
      <c r="H24" s="24">
        <v>2</v>
      </c>
      <c r="AO24" s="22"/>
      <c r="AP24" s="22"/>
      <c r="AQ24" s="22"/>
      <c r="AR24" s="22"/>
    </row>
    <row r="25" spans="1:45" ht="18.600000000000001" customHeight="1" x14ac:dyDescent="0.35">
      <c r="A25" s="47" t="s">
        <v>40</v>
      </c>
      <c r="B25" s="13" t="s">
        <v>41</v>
      </c>
      <c r="C25" s="23">
        <v>0</v>
      </c>
      <c r="D25" s="23">
        <v>0</v>
      </c>
      <c r="E25" s="23">
        <f t="shared" si="0"/>
        <v>0</v>
      </c>
      <c r="G25" s="14" t="s">
        <v>41</v>
      </c>
      <c r="H25" s="23">
        <v>4</v>
      </c>
      <c r="AO25" s="22"/>
      <c r="AP25" s="22"/>
      <c r="AQ25" s="22"/>
      <c r="AR25" s="22"/>
    </row>
    <row r="26" spans="1:45" x14ac:dyDescent="0.35">
      <c r="A26" s="47"/>
      <c r="B26" s="13" t="s">
        <v>42</v>
      </c>
      <c r="C26" s="23">
        <v>0</v>
      </c>
      <c r="D26" s="23">
        <v>0</v>
      </c>
      <c r="E26" s="23">
        <f t="shared" si="0"/>
        <v>0</v>
      </c>
      <c r="G26" s="14" t="s">
        <v>42</v>
      </c>
      <c r="H26" s="23">
        <v>4</v>
      </c>
      <c r="AO26" s="22"/>
      <c r="AP26" s="22"/>
      <c r="AQ26" s="22"/>
      <c r="AR26" s="22"/>
    </row>
    <row r="27" spans="1:45" x14ac:dyDescent="0.35">
      <c r="A27" s="47"/>
      <c r="B27" s="13" t="s">
        <v>43</v>
      </c>
      <c r="C27" s="23">
        <v>0</v>
      </c>
      <c r="D27" s="23">
        <v>0</v>
      </c>
      <c r="E27" s="23">
        <f t="shared" si="0"/>
        <v>0</v>
      </c>
      <c r="G27" s="14" t="s">
        <v>43</v>
      </c>
      <c r="H27" s="23">
        <v>1</v>
      </c>
      <c r="AO27" s="22"/>
      <c r="AP27" s="22"/>
      <c r="AQ27" s="22"/>
      <c r="AR27" s="22"/>
    </row>
    <row r="28" spans="1:45" x14ac:dyDescent="0.35">
      <c r="A28" s="47"/>
      <c r="B28" s="13" t="s">
        <v>44</v>
      </c>
      <c r="C28" s="23">
        <v>0</v>
      </c>
      <c r="D28" s="23">
        <v>0</v>
      </c>
      <c r="E28" s="23">
        <f t="shared" si="0"/>
        <v>0</v>
      </c>
      <c r="G28" s="14" t="s">
        <v>44</v>
      </c>
      <c r="H28" s="23">
        <v>3</v>
      </c>
      <c r="AO28" s="22"/>
      <c r="AP28" s="22"/>
      <c r="AQ28" s="22"/>
      <c r="AR28" s="22"/>
    </row>
    <row r="29" spans="1:45" ht="18" customHeight="1" x14ac:dyDescent="0.35">
      <c r="A29" s="47"/>
      <c r="B29" s="13" t="s">
        <v>45</v>
      </c>
      <c r="C29" s="23">
        <v>0</v>
      </c>
      <c r="D29" s="23">
        <v>0</v>
      </c>
      <c r="E29" s="23">
        <f t="shared" si="0"/>
        <v>0</v>
      </c>
      <c r="G29" s="14" t="s">
        <v>45</v>
      </c>
      <c r="H29" s="23">
        <v>3</v>
      </c>
      <c r="AO29" s="22"/>
      <c r="AP29" s="22"/>
      <c r="AQ29" s="22"/>
      <c r="AR29" s="22"/>
    </row>
    <row r="30" spans="1:45" x14ac:dyDescent="0.35">
      <c r="A30" s="47"/>
      <c r="B30" s="13" t="s">
        <v>46</v>
      </c>
      <c r="C30" s="23">
        <v>0</v>
      </c>
      <c r="D30" s="23">
        <v>0</v>
      </c>
      <c r="E30" s="23">
        <f t="shared" si="0"/>
        <v>0</v>
      </c>
      <c r="G30" s="14" t="s">
        <v>46</v>
      </c>
      <c r="H30" s="23">
        <v>3</v>
      </c>
      <c r="AO30" s="22"/>
      <c r="AP30" s="22"/>
      <c r="AQ30" s="22"/>
      <c r="AR30" s="22"/>
    </row>
    <row r="31" spans="1:45" ht="13.8" customHeight="1" x14ac:dyDescent="0.35">
      <c r="A31" s="48" t="s">
        <v>47</v>
      </c>
      <c r="B31" s="6" t="s">
        <v>48</v>
      </c>
      <c r="C31" s="24">
        <v>0</v>
      </c>
      <c r="D31" s="24">
        <v>0</v>
      </c>
      <c r="E31" s="24">
        <f t="shared" si="0"/>
        <v>0</v>
      </c>
      <c r="G31" s="7" t="s">
        <v>48</v>
      </c>
      <c r="H31" s="24">
        <v>4</v>
      </c>
      <c r="AO31" s="22"/>
      <c r="AP31" s="22"/>
      <c r="AQ31" s="22"/>
      <c r="AR31" s="22"/>
    </row>
    <row r="32" spans="1:45" ht="13.8" customHeight="1" x14ac:dyDescent="0.35">
      <c r="A32" s="48"/>
      <c r="B32" s="6" t="s">
        <v>49</v>
      </c>
      <c r="C32" s="24">
        <v>0</v>
      </c>
      <c r="D32" s="24">
        <v>0</v>
      </c>
      <c r="E32" s="24">
        <f t="shared" si="0"/>
        <v>0</v>
      </c>
      <c r="G32" s="7" t="s">
        <v>49</v>
      </c>
      <c r="H32" s="24">
        <v>4</v>
      </c>
      <c r="AO32" s="22"/>
      <c r="AP32" s="22"/>
      <c r="AQ32" s="22"/>
      <c r="AR32" s="22"/>
    </row>
    <row r="33" spans="1:44" x14ac:dyDescent="0.35">
      <c r="A33" s="48"/>
      <c r="B33" s="6" t="s">
        <v>50</v>
      </c>
      <c r="C33" s="24">
        <v>0</v>
      </c>
      <c r="D33" s="24">
        <v>0</v>
      </c>
      <c r="E33" s="24">
        <f t="shared" si="0"/>
        <v>0</v>
      </c>
      <c r="G33" s="7" t="s">
        <v>50</v>
      </c>
      <c r="H33" s="24">
        <v>1</v>
      </c>
      <c r="AO33" s="22"/>
      <c r="AP33" s="22"/>
      <c r="AQ33" s="22"/>
      <c r="AR33" s="22"/>
    </row>
    <row r="34" spans="1:44" x14ac:dyDescent="0.35">
      <c r="A34" s="48"/>
      <c r="B34" s="6" t="s">
        <v>51</v>
      </c>
      <c r="C34" s="24">
        <v>0</v>
      </c>
      <c r="D34" s="24">
        <v>0</v>
      </c>
      <c r="E34" s="24">
        <f t="shared" si="0"/>
        <v>0</v>
      </c>
      <c r="G34" s="7" t="s">
        <v>51</v>
      </c>
      <c r="H34" s="24">
        <v>3</v>
      </c>
      <c r="AO34" s="22"/>
      <c r="AP34" s="22"/>
      <c r="AQ34" s="22"/>
      <c r="AR34" s="22"/>
    </row>
    <row r="35" spans="1:44" ht="18" customHeight="1" x14ac:dyDescent="0.35">
      <c r="A35" s="48"/>
      <c r="B35" s="6" t="s">
        <v>52</v>
      </c>
      <c r="C35" s="24">
        <v>0</v>
      </c>
      <c r="D35" s="24">
        <v>0</v>
      </c>
      <c r="E35" s="24">
        <f t="shared" si="0"/>
        <v>0</v>
      </c>
      <c r="G35" s="7" t="s">
        <v>52</v>
      </c>
      <c r="H35" s="24">
        <v>3</v>
      </c>
      <c r="AO35" s="22"/>
      <c r="AP35" s="22"/>
      <c r="AQ35" s="22"/>
      <c r="AR35" s="22"/>
    </row>
    <row r="36" spans="1:44" x14ac:dyDescent="0.35">
      <c r="A36" s="48"/>
      <c r="B36" s="6" t="s">
        <v>53</v>
      </c>
      <c r="C36" s="24">
        <v>0</v>
      </c>
      <c r="D36" s="24">
        <v>0</v>
      </c>
      <c r="E36" s="24">
        <f t="shared" si="0"/>
        <v>0</v>
      </c>
      <c r="G36" s="7" t="s">
        <v>53</v>
      </c>
      <c r="H36" s="24">
        <v>1</v>
      </c>
      <c r="AO36" s="22"/>
      <c r="AP36" s="22"/>
      <c r="AQ36" s="22"/>
      <c r="AR36" s="22"/>
    </row>
    <row r="37" spans="1:44" ht="18" customHeight="1" x14ac:dyDescent="0.35">
      <c r="A37" s="33" t="s">
        <v>54</v>
      </c>
      <c r="B37" s="13" t="s">
        <v>55</v>
      </c>
      <c r="C37" s="23">
        <v>0</v>
      </c>
      <c r="D37" s="23">
        <v>0</v>
      </c>
      <c r="E37" s="23">
        <f t="shared" si="0"/>
        <v>0</v>
      </c>
      <c r="G37" s="14" t="s">
        <v>55</v>
      </c>
      <c r="H37" s="23">
        <v>4</v>
      </c>
      <c r="AO37" s="22"/>
      <c r="AP37" s="22"/>
      <c r="AQ37" s="22"/>
      <c r="AR37" s="22"/>
    </row>
    <row r="38" spans="1:44" x14ac:dyDescent="0.35">
      <c r="A38" s="33"/>
      <c r="B38" s="13" t="s">
        <v>56</v>
      </c>
      <c r="C38" s="23">
        <v>0</v>
      </c>
      <c r="D38" s="23">
        <v>0</v>
      </c>
      <c r="E38" s="23">
        <f t="shared" si="0"/>
        <v>0</v>
      </c>
      <c r="G38" s="14" t="s">
        <v>56</v>
      </c>
      <c r="H38" s="23">
        <v>4</v>
      </c>
      <c r="AO38" s="22"/>
      <c r="AP38" s="22"/>
      <c r="AQ38" s="22"/>
      <c r="AR38" s="22"/>
    </row>
    <row r="39" spans="1:44" x14ac:dyDescent="0.35">
      <c r="A39" s="33"/>
      <c r="B39" s="13" t="s">
        <v>57</v>
      </c>
      <c r="C39" s="23">
        <v>0</v>
      </c>
      <c r="D39" s="23">
        <v>0</v>
      </c>
      <c r="E39" s="23">
        <f t="shared" si="0"/>
        <v>0</v>
      </c>
      <c r="G39" s="14" t="s">
        <v>57</v>
      </c>
      <c r="H39" s="23">
        <v>1</v>
      </c>
      <c r="AO39" s="22"/>
      <c r="AP39" s="22"/>
      <c r="AQ39" s="22"/>
      <c r="AR39" s="22"/>
    </row>
    <row r="40" spans="1:44" x14ac:dyDescent="0.35">
      <c r="A40" s="33"/>
      <c r="B40" s="13" t="s">
        <v>58</v>
      </c>
      <c r="C40" s="23">
        <v>0</v>
      </c>
      <c r="D40" s="23">
        <v>0</v>
      </c>
      <c r="E40" s="23">
        <f t="shared" si="0"/>
        <v>0</v>
      </c>
      <c r="G40" s="14" t="s">
        <v>58</v>
      </c>
      <c r="H40" s="23">
        <v>1</v>
      </c>
      <c r="AO40" s="22"/>
      <c r="AP40" s="22"/>
      <c r="AQ40" s="22"/>
      <c r="AR40" s="22"/>
    </row>
    <row r="41" spans="1:44" ht="18" customHeight="1" x14ac:dyDescent="0.35">
      <c r="A41" s="33"/>
      <c r="B41" s="13" t="s">
        <v>59</v>
      </c>
      <c r="C41" s="23">
        <v>0</v>
      </c>
      <c r="D41" s="23">
        <v>0</v>
      </c>
      <c r="E41" s="23">
        <f t="shared" si="0"/>
        <v>0</v>
      </c>
      <c r="G41" s="14" t="s">
        <v>59</v>
      </c>
      <c r="H41" s="23">
        <v>3</v>
      </c>
      <c r="AO41" s="22"/>
      <c r="AP41" s="22"/>
      <c r="AQ41" s="22"/>
      <c r="AR41" s="22"/>
    </row>
    <row r="42" spans="1:44" x14ac:dyDescent="0.35">
      <c r="A42" s="33"/>
      <c r="B42" s="13" t="s">
        <v>60</v>
      </c>
      <c r="C42" s="23">
        <v>0</v>
      </c>
      <c r="D42" s="23">
        <v>0</v>
      </c>
      <c r="E42" s="23">
        <f t="shared" si="0"/>
        <v>0</v>
      </c>
      <c r="G42" s="14" t="s">
        <v>60</v>
      </c>
      <c r="H42" s="23">
        <v>3</v>
      </c>
      <c r="AO42" s="22"/>
      <c r="AP42" s="22"/>
      <c r="AQ42" s="22"/>
      <c r="AR42" s="22"/>
    </row>
    <row r="43" spans="1:44" x14ac:dyDescent="0.35">
      <c r="A43" s="33"/>
      <c r="B43" s="13" t="s">
        <v>61</v>
      </c>
      <c r="C43" s="23">
        <v>0</v>
      </c>
      <c r="D43" s="23">
        <v>0</v>
      </c>
      <c r="E43" s="23">
        <f t="shared" si="0"/>
        <v>0</v>
      </c>
      <c r="G43" s="14" t="s">
        <v>61</v>
      </c>
      <c r="H43" s="23">
        <v>2</v>
      </c>
      <c r="AO43" s="22"/>
      <c r="AP43" s="22"/>
      <c r="AQ43" s="22"/>
      <c r="AR43" s="22"/>
    </row>
    <row r="44" spans="1:44" ht="18" customHeight="1" x14ac:dyDescent="0.35">
      <c r="A44" s="49" t="s">
        <v>62</v>
      </c>
      <c r="B44" s="6" t="s">
        <v>63</v>
      </c>
      <c r="C44" s="24">
        <v>0</v>
      </c>
      <c r="D44" s="24">
        <v>0</v>
      </c>
      <c r="E44" s="24">
        <f t="shared" si="0"/>
        <v>0</v>
      </c>
      <c r="G44" s="7" t="s">
        <v>63</v>
      </c>
      <c r="H44" s="24">
        <v>3</v>
      </c>
      <c r="AO44" s="22"/>
      <c r="AP44" s="22"/>
      <c r="AQ44" s="22"/>
      <c r="AR44" s="22"/>
    </row>
    <row r="45" spans="1:44" x14ac:dyDescent="0.35">
      <c r="A45" s="50"/>
      <c r="B45" s="6" t="s">
        <v>64</v>
      </c>
      <c r="C45" s="24">
        <v>0</v>
      </c>
      <c r="D45" s="24">
        <v>0</v>
      </c>
      <c r="E45" s="24">
        <f t="shared" si="0"/>
        <v>0</v>
      </c>
      <c r="G45" s="7" t="s">
        <v>64</v>
      </c>
      <c r="H45" s="24">
        <v>4</v>
      </c>
      <c r="AO45" s="22"/>
      <c r="AP45" s="22"/>
      <c r="AQ45" s="22"/>
      <c r="AR45" s="22"/>
    </row>
    <row r="46" spans="1:44" x14ac:dyDescent="0.35">
      <c r="A46" s="50"/>
      <c r="B46" s="6" t="s">
        <v>65</v>
      </c>
      <c r="C46" s="24">
        <v>0</v>
      </c>
      <c r="D46" s="24">
        <v>0</v>
      </c>
      <c r="E46" s="24">
        <f t="shared" si="0"/>
        <v>0</v>
      </c>
      <c r="G46" s="7" t="s">
        <v>65</v>
      </c>
      <c r="H46" s="24">
        <v>4</v>
      </c>
      <c r="AO46" s="22"/>
      <c r="AP46" s="22"/>
      <c r="AQ46" s="22"/>
      <c r="AR46" s="22"/>
    </row>
    <row r="47" spans="1:44" x14ac:dyDescent="0.35">
      <c r="A47" s="50"/>
      <c r="B47" s="6" t="s">
        <v>66</v>
      </c>
      <c r="C47" s="24">
        <v>0</v>
      </c>
      <c r="D47" s="24">
        <v>0</v>
      </c>
      <c r="E47" s="24">
        <f t="shared" si="0"/>
        <v>0</v>
      </c>
      <c r="G47" s="7" t="s">
        <v>66</v>
      </c>
      <c r="H47" s="24">
        <v>4</v>
      </c>
      <c r="AO47" s="22"/>
      <c r="AP47" s="22"/>
      <c r="AQ47" s="22"/>
      <c r="AR47" s="22"/>
    </row>
    <row r="48" spans="1:44" ht="18" customHeight="1" x14ac:dyDescent="0.35">
      <c r="A48" s="50"/>
      <c r="B48" s="6" t="s">
        <v>67</v>
      </c>
      <c r="C48" s="24">
        <v>0</v>
      </c>
      <c r="D48" s="24">
        <v>0</v>
      </c>
      <c r="E48" s="24">
        <f t="shared" si="0"/>
        <v>0</v>
      </c>
      <c r="G48" s="7" t="s">
        <v>67</v>
      </c>
      <c r="H48" s="24">
        <v>1</v>
      </c>
      <c r="AO48" s="22"/>
      <c r="AP48" s="22"/>
      <c r="AQ48" s="22"/>
      <c r="AR48" s="22"/>
    </row>
    <row r="49" spans="1:44" ht="18" customHeight="1" x14ac:dyDescent="0.35">
      <c r="A49" s="33" t="s">
        <v>68</v>
      </c>
      <c r="B49" s="13" t="s">
        <v>69</v>
      </c>
      <c r="C49" s="23">
        <v>0</v>
      </c>
      <c r="D49" s="23">
        <v>0</v>
      </c>
      <c r="E49" s="23">
        <f t="shared" si="0"/>
        <v>0</v>
      </c>
      <c r="G49" s="14" t="s">
        <v>69</v>
      </c>
      <c r="H49" s="23">
        <v>4</v>
      </c>
      <c r="AO49" s="22"/>
      <c r="AP49" s="22"/>
      <c r="AQ49" s="22"/>
      <c r="AR49" s="22"/>
    </row>
    <row r="50" spans="1:44" x14ac:dyDescent="0.35">
      <c r="A50" s="34"/>
      <c r="B50" s="13" t="s">
        <v>70</v>
      </c>
      <c r="C50" s="23">
        <v>0</v>
      </c>
      <c r="D50" s="23">
        <v>0</v>
      </c>
      <c r="E50" s="23">
        <f t="shared" si="0"/>
        <v>0</v>
      </c>
      <c r="G50" s="14" t="s">
        <v>70</v>
      </c>
      <c r="H50" s="23">
        <v>4</v>
      </c>
      <c r="AO50" s="22"/>
      <c r="AP50" s="22"/>
      <c r="AQ50" s="22"/>
      <c r="AR50" s="22"/>
    </row>
    <row r="51" spans="1:44" x14ac:dyDescent="0.35">
      <c r="A51" s="34"/>
      <c r="B51" s="13" t="s">
        <v>71</v>
      </c>
      <c r="C51" s="23">
        <v>0</v>
      </c>
      <c r="D51" s="23">
        <v>0</v>
      </c>
      <c r="E51" s="23">
        <f t="shared" si="0"/>
        <v>0</v>
      </c>
      <c r="G51" s="14" t="s">
        <v>71</v>
      </c>
      <c r="H51" s="23">
        <v>4</v>
      </c>
      <c r="AO51" s="22"/>
      <c r="AP51" s="22"/>
      <c r="AQ51" s="22"/>
      <c r="AR51" s="22"/>
    </row>
    <row r="52" spans="1:44" x14ac:dyDescent="0.35">
      <c r="A52" s="34"/>
      <c r="B52" s="13" t="s">
        <v>72</v>
      </c>
      <c r="C52" s="23">
        <v>0</v>
      </c>
      <c r="D52" s="23">
        <v>0</v>
      </c>
      <c r="E52" s="23">
        <f t="shared" si="0"/>
        <v>0</v>
      </c>
      <c r="G52" s="14" t="s">
        <v>72</v>
      </c>
      <c r="H52" s="23">
        <v>4</v>
      </c>
      <c r="AO52" s="22"/>
      <c r="AP52" s="22"/>
      <c r="AQ52" s="22"/>
      <c r="AR52" s="22"/>
    </row>
    <row r="53" spans="1:44" ht="18" customHeight="1" x14ac:dyDescent="0.35">
      <c r="A53" s="49" t="s">
        <v>73</v>
      </c>
      <c r="B53" s="6" t="s">
        <v>74</v>
      </c>
      <c r="C53" s="24">
        <v>0</v>
      </c>
      <c r="D53" s="24">
        <v>0</v>
      </c>
      <c r="E53" s="24">
        <f t="shared" si="0"/>
        <v>0</v>
      </c>
      <c r="G53" s="7" t="s">
        <v>74</v>
      </c>
      <c r="H53" s="24">
        <v>2</v>
      </c>
      <c r="AO53" s="22"/>
      <c r="AP53" s="22"/>
      <c r="AQ53" s="22"/>
      <c r="AR53" s="22"/>
    </row>
    <row r="54" spans="1:44" x14ac:dyDescent="0.35">
      <c r="A54" s="50"/>
      <c r="B54" s="6" t="s">
        <v>75</v>
      </c>
      <c r="C54" s="24">
        <v>0</v>
      </c>
      <c r="D54" s="24">
        <v>0</v>
      </c>
      <c r="E54" s="24">
        <f t="shared" si="0"/>
        <v>0</v>
      </c>
      <c r="G54" s="7" t="s">
        <v>75</v>
      </c>
      <c r="H54" s="24">
        <v>3</v>
      </c>
      <c r="AO54" s="22"/>
      <c r="AP54" s="22"/>
      <c r="AQ54" s="22"/>
      <c r="AR54" s="22"/>
    </row>
    <row r="55" spans="1:44" x14ac:dyDescent="0.35">
      <c r="A55" s="50"/>
      <c r="B55" s="6" t="s">
        <v>76</v>
      </c>
      <c r="C55" s="24">
        <v>0</v>
      </c>
      <c r="D55" s="24">
        <v>0</v>
      </c>
      <c r="E55" s="24">
        <f t="shared" si="0"/>
        <v>0</v>
      </c>
      <c r="G55" s="7" t="s">
        <v>76</v>
      </c>
      <c r="H55" s="24">
        <v>4</v>
      </c>
      <c r="AO55" s="22"/>
      <c r="AP55" s="22"/>
      <c r="AQ55" s="22"/>
      <c r="AR55" s="22"/>
    </row>
    <row r="56" spans="1:44" x14ac:dyDescent="0.35">
      <c r="A56" s="50"/>
      <c r="B56" s="6" t="s">
        <v>77</v>
      </c>
      <c r="C56" s="24">
        <v>0</v>
      </c>
      <c r="D56" s="24">
        <v>0</v>
      </c>
      <c r="E56" s="24">
        <f t="shared" si="0"/>
        <v>0</v>
      </c>
      <c r="G56" s="7" t="s">
        <v>77</v>
      </c>
      <c r="H56" s="24">
        <v>4</v>
      </c>
      <c r="AO56" s="22"/>
      <c r="AP56" s="22"/>
      <c r="AQ56" s="22"/>
      <c r="AR56" s="22"/>
    </row>
    <row r="57" spans="1:44" ht="18" customHeight="1" x14ac:dyDescent="0.35">
      <c r="A57" s="50"/>
      <c r="B57" s="6" t="s">
        <v>78</v>
      </c>
      <c r="C57" s="24">
        <v>0</v>
      </c>
      <c r="D57" s="24">
        <v>0</v>
      </c>
      <c r="E57" s="24">
        <f t="shared" si="0"/>
        <v>0</v>
      </c>
      <c r="G57" s="7" t="s">
        <v>78</v>
      </c>
      <c r="H57" s="24">
        <v>2</v>
      </c>
      <c r="AO57" s="22"/>
      <c r="AP57" s="22"/>
      <c r="AQ57" s="22"/>
      <c r="AR57" s="22"/>
    </row>
    <row r="58" spans="1:44" ht="18" customHeight="1" x14ac:dyDescent="0.35">
      <c r="A58" s="33" t="s">
        <v>79</v>
      </c>
      <c r="B58" s="13" t="s">
        <v>80</v>
      </c>
      <c r="C58" s="23">
        <v>0</v>
      </c>
      <c r="D58" s="23">
        <v>0</v>
      </c>
      <c r="E58" s="23">
        <f t="shared" si="0"/>
        <v>0</v>
      </c>
      <c r="G58" s="14" t="s">
        <v>80</v>
      </c>
      <c r="H58" s="23">
        <v>3</v>
      </c>
      <c r="AO58" s="22"/>
      <c r="AP58" s="22"/>
      <c r="AQ58" s="22"/>
      <c r="AR58" s="22"/>
    </row>
    <row r="59" spans="1:44" x14ac:dyDescent="0.35">
      <c r="A59" s="34"/>
      <c r="B59" s="13" t="s">
        <v>81</v>
      </c>
      <c r="C59" s="23">
        <v>0</v>
      </c>
      <c r="D59" s="23">
        <v>0</v>
      </c>
      <c r="E59" s="23">
        <f t="shared" si="0"/>
        <v>0</v>
      </c>
      <c r="G59" s="14" t="s">
        <v>81</v>
      </c>
      <c r="H59" s="23">
        <v>2</v>
      </c>
      <c r="AO59" s="22"/>
      <c r="AP59" s="22"/>
      <c r="AQ59" s="22"/>
      <c r="AR59" s="22"/>
    </row>
    <row r="60" spans="1:44" x14ac:dyDescent="0.35">
      <c r="A60" s="34"/>
      <c r="B60" s="13" t="s">
        <v>82</v>
      </c>
      <c r="C60" s="23">
        <v>0</v>
      </c>
      <c r="D60" s="23">
        <v>0</v>
      </c>
      <c r="E60" s="23">
        <f t="shared" si="0"/>
        <v>0</v>
      </c>
      <c r="G60" s="14" t="s">
        <v>82</v>
      </c>
      <c r="H60" s="23">
        <v>4</v>
      </c>
      <c r="AO60" s="22"/>
      <c r="AP60" s="22"/>
      <c r="AQ60" s="22"/>
      <c r="AR60" s="22"/>
    </row>
    <row r="61" spans="1:44" x14ac:dyDescent="0.35">
      <c r="A61" s="34"/>
      <c r="B61" s="13" t="s">
        <v>83</v>
      </c>
      <c r="C61" s="23">
        <v>0</v>
      </c>
      <c r="D61" s="23">
        <v>0</v>
      </c>
      <c r="E61" s="23">
        <f t="shared" si="0"/>
        <v>0</v>
      </c>
      <c r="G61" s="14" t="s">
        <v>83</v>
      </c>
      <c r="H61" s="23">
        <v>4</v>
      </c>
      <c r="AO61" s="22"/>
      <c r="AP61" s="22"/>
      <c r="AQ61" s="22"/>
      <c r="AR61" s="22"/>
    </row>
    <row r="62" spans="1:44" ht="18" customHeight="1" x14ac:dyDescent="0.35">
      <c r="A62" s="51"/>
      <c r="B62" s="52" t="s">
        <v>22</v>
      </c>
      <c r="C62" s="52"/>
      <c r="D62" s="19">
        <f>SUM(D2:D61)</f>
        <v>0</v>
      </c>
      <c r="E62" s="19">
        <f>SUM(E2:E61)</f>
        <v>0</v>
      </c>
      <c r="AO62" s="22"/>
      <c r="AP62" s="22"/>
      <c r="AQ62" s="22"/>
      <c r="AR62" s="22"/>
    </row>
    <row r="63" spans="1:44" x14ac:dyDescent="0.35">
      <c r="D63" s="20" t="s">
        <v>84</v>
      </c>
      <c r="E63" s="20" t="e">
        <f>E62/D62</f>
        <v>#DIV/0!</v>
      </c>
      <c r="AO63" s="22"/>
      <c r="AP63" s="22"/>
      <c r="AQ63" s="22"/>
      <c r="AR63" s="22"/>
    </row>
    <row r="64" spans="1:44" x14ac:dyDescent="0.35">
      <c r="AO64" s="22"/>
      <c r="AP64" s="22"/>
      <c r="AQ64" s="22"/>
      <c r="AR64" s="22"/>
    </row>
    <row r="65" spans="41:44" x14ac:dyDescent="0.35">
      <c r="AO65" s="22"/>
      <c r="AP65" s="22"/>
      <c r="AQ65" s="22"/>
      <c r="AR65" s="22"/>
    </row>
    <row r="66" spans="41:44" x14ac:dyDescent="0.35">
      <c r="AO66" s="22"/>
      <c r="AP66" s="22"/>
      <c r="AQ66" s="22"/>
      <c r="AR66" s="22"/>
    </row>
    <row r="67" spans="41:44" x14ac:dyDescent="0.35">
      <c r="AO67" s="22"/>
      <c r="AP67" s="22"/>
      <c r="AQ67" s="22"/>
      <c r="AR67" s="22"/>
    </row>
    <row r="68" spans="41:44" x14ac:dyDescent="0.35">
      <c r="AO68" s="22"/>
      <c r="AP68" s="22"/>
      <c r="AQ68" s="22"/>
      <c r="AR68" s="22"/>
    </row>
    <row r="69" spans="41:44" x14ac:dyDescent="0.35">
      <c r="AO69" s="22"/>
      <c r="AP69" s="22"/>
      <c r="AQ69" s="22"/>
      <c r="AR69" s="22"/>
    </row>
    <row r="70" spans="41:44" x14ac:dyDescent="0.35">
      <c r="AO70" s="22"/>
      <c r="AP70" s="22"/>
      <c r="AQ70" s="22"/>
      <c r="AR70" s="22"/>
    </row>
    <row r="71" spans="41:44" x14ac:dyDescent="0.35">
      <c r="AO71" s="22"/>
      <c r="AP71" s="22"/>
      <c r="AQ71" s="22"/>
      <c r="AR71" s="22"/>
    </row>
    <row r="72" spans="41:44" x14ac:dyDescent="0.35">
      <c r="AO72" s="22"/>
      <c r="AP72" s="22"/>
      <c r="AQ72" s="22"/>
      <c r="AR72" s="22"/>
    </row>
    <row r="73" spans="41:44" x14ac:dyDescent="0.35">
      <c r="AO73" s="22"/>
      <c r="AP73" s="22"/>
      <c r="AQ73" s="22"/>
      <c r="AR73" s="22"/>
    </row>
    <row r="74" spans="41:44" x14ac:dyDescent="0.35">
      <c r="AO74" s="22"/>
      <c r="AP74" s="22"/>
      <c r="AQ74" s="22"/>
      <c r="AR74" s="22"/>
    </row>
    <row r="75" spans="41:44" x14ac:dyDescent="0.35">
      <c r="AO75" s="22"/>
      <c r="AP75" s="22"/>
      <c r="AQ75" s="22"/>
      <c r="AR75" s="22"/>
    </row>
    <row r="76" spans="41:44" x14ac:dyDescent="0.35">
      <c r="AO76" s="22"/>
      <c r="AP76" s="22"/>
      <c r="AQ76" s="22"/>
      <c r="AR76" s="22"/>
    </row>
    <row r="77" spans="41:44" x14ac:dyDescent="0.35">
      <c r="AO77" s="22"/>
      <c r="AP77" s="22"/>
      <c r="AQ77" s="22"/>
      <c r="AR77" s="22"/>
    </row>
    <row r="78" spans="41:44" x14ac:dyDescent="0.35">
      <c r="AO78" s="22"/>
      <c r="AP78" s="22"/>
      <c r="AQ78" s="22"/>
      <c r="AR78" s="22"/>
    </row>
    <row r="79" spans="41:44" x14ac:dyDescent="0.35">
      <c r="AO79" s="22"/>
      <c r="AP79" s="22"/>
      <c r="AQ79" s="22"/>
      <c r="AR79" s="22"/>
    </row>
    <row r="80" spans="41:44" x14ac:dyDescent="0.35">
      <c r="AO80" s="22"/>
      <c r="AP80" s="22"/>
      <c r="AQ80" s="22"/>
      <c r="AR80" s="22"/>
    </row>
    <row r="81" spans="41:44" x14ac:dyDescent="0.35">
      <c r="AO81" s="22"/>
      <c r="AP81" s="22"/>
      <c r="AQ81" s="22"/>
      <c r="AR81" s="22"/>
    </row>
    <row r="82" spans="41:44" x14ac:dyDescent="0.35">
      <c r="AO82" s="22"/>
      <c r="AP82" s="22"/>
      <c r="AQ82" s="22"/>
      <c r="AR82" s="22"/>
    </row>
    <row r="83" spans="41:44" x14ac:dyDescent="0.35">
      <c r="AO83" s="22"/>
      <c r="AP83" s="22"/>
      <c r="AQ83" s="22"/>
      <c r="AR83" s="22"/>
    </row>
    <row r="84" spans="41:44" x14ac:dyDescent="0.35">
      <c r="AO84" s="22"/>
      <c r="AP84" s="22"/>
      <c r="AQ84" s="22"/>
      <c r="AR84" s="22"/>
    </row>
    <row r="85" spans="41:44" x14ac:dyDescent="0.35">
      <c r="AO85" s="22"/>
      <c r="AP85" s="22"/>
      <c r="AQ85" s="22"/>
      <c r="AR85" s="22"/>
    </row>
    <row r="86" spans="41:44" x14ac:dyDescent="0.35">
      <c r="AO86" s="22"/>
      <c r="AP86" s="22"/>
      <c r="AQ86" s="22"/>
      <c r="AR86" s="22"/>
    </row>
    <row r="87" spans="41:44" x14ac:dyDescent="0.35">
      <c r="AO87" s="22"/>
      <c r="AP87" s="22"/>
      <c r="AQ87" s="22"/>
      <c r="AR87" s="22"/>
    </row>
    <row r="88" spans="41:44" x14ac:dyDescent="0.35">
      <c r="AO88" s="22"/>
      <c r="AP88" s="22"/>
      <c r="AQ88" s="22"/>
      <c r="AR88" s="22"/>
    </row>
    <row r="89" spans="41:44" x14ac:dyDescent="0.35">
      <c r="AO89" s="22"/>
      <c r="AP89" s="22"/>
      <c r="AQ89" s="22"/>
      <c r="AR89" s="22"/>
    </row>
    <row r="90" spans="41:44" x14ac:dyDescent="0.35">
      <c r="AO90" s="22"/>
      <c r="AP90" s="22"/>
      <c r="AQ90" s="22"/>
      <c r="AR90" s="22"/>
    </row>
    <row r="91" spans="41:44" x14ac:dyDescent="0.35">
      <c r="AO91" s="22"/>
      <c r="AP91" s="22"/>
      <c r="AQ91" s="22"/>
      <c r="AR91" s="22"/>
    </row>
    <row r="92" spans="41:44" x14ac:dyDescent="0.35">
      <c r="AO92" s="22"/>
      <c r="AP92" s="22"/>
      <c r="AQ92" s="22"/>
      <c r="AR92" s="22"/>
    </row>
    <row r="93" spans="41:44" x14ac:dyDescent="0.35">
      <c r="AO93" s="22"/>
      <c r="AP93" s="22"/>
      <c r="AQ93" s="22"/>
      <c r="AR93" s="22"/>
    </row>
    <row r="94" spans="41:44" x14ac:dyDescent="0.35">
      <c r="AO94" s="22"/>
      <c r="AP94" s="22"/>
      <c r="AQ94" s="22"/>
      <c r="AR94" s="22"/>
    </row>
    <row r="95" spans="41:44" x14ac:dyDescent="0.35">
      <c r="AO95" s="22"/>
      <c r="AP95" s="22"/>
      <c r="AQ95" s="22"/>
      <c r="AR95" s="22"/>
    </row>
    <row r="96" spans="41:44" x14ac:dyDescent="0.35">
      <c r="AO96" s="22"/>
      <c r="AP96" s="22"/>
      <c r="AQ96" s="22"/>
      <c r="AR96" s="22"/>
    </row>
    <row r="97" spans="41:44" x14ac:dyDescent="0.35">
      <c r="AO97" s="22"/>
      <c r="AP97" s="22"/>
      <c r="AQ97" s="22"/>
      <c r="AR97" s="22"/>
    </row>
    <row r="98" spans="41:44" x14ac:dyDescent="0.35">
      <c r="AO98" s="22"/>
      <c r="AP98" s="22"/>
      <c r="AQ98" s="22"/>
      <c r="AR98" s="22"/>
    </row>
    <row r="99" spans="41:44" x14ac:dyDescent="0.35">
      <c r="AO99" s="22"/>
      <c r="AP99" s="22"/>
      <c r="AQ99" s="22"/>
      <c r="AR99" s="22"/>
    </row>
    <row r="100" spans="41:44" x14ac:dyDescent="0.35">
      <c r="AO100" s="22"/>
      <c r="AP100" s="22"/>
      <c r="AQ100" s="22"/>
      <c r="AR100" s="22"/>
    </row>
    <row r="101" spans="41:44" x14ac:dyDescent="0.35">
      <c r="AO101" s="22"/>
      <c r="AP101" s="22"/>
      <c r="AQ101" s="22"/>
      <c r="AR101" s="22"/>
    </row>
    <row r="102" spans="41:44" x14ac:dyDescent="0.35">
      <c r="AO102" s="22"/>
      <c r="AP102" s="22"/>
      <c r="AQ102" s="22"/>
      <c r="AR102" s="22"/>
    </row>
    <row r="103" spans="41:44" x14ac:dyDescent="0.35">
      <c r="AO103" s="22"/>
      <c r="AP103" s="22"/>
      <c r="AQ103" s="22"/>
      <c r="AR103" s="22"/>
    </row>
    <row r="104" spans="41:44" x14ac:dyDescent="0.35">
      <c r="AO104" s="22"/>
      <c r="AP104" s="22"/>
      <c r="AQ104" s="22"/>
      <c r="AR104" s="22"/>
    </row>
    <row r="105" spans="41:44" x14ac:dyDescent="0.35">
      <c r="AO105" s="22"/>
      <c r="AP105" s="22"/>
      <c r="AQ105" s="22"/>
      <c r="AR105" s="22"/>
    </row>
    <row r="106" spans="41:44" x14ac:dyDescent="0.35">
      <c r="AO106" s="22"/>
      <c r="AP106" s="22"/>
      <c r="AQ106" s="22"/>
      <c r="AR106" s="22"/>
    </row>
    <row r="107" spans="41:44" x14ac:dyDescent="0.35">
      <c r="AO107" s="22"/>
      <c r="AP107" s="22"/>
      <c r="AQ107" s="22"/>
      <c r="AR107" s="22"/>
    </row>
    <row r="108" spans="41:44" x14ac:dyDescent="0.35">
      <c r="AO108" s="22"/>
      <c r="AP108" s="22"/>
      <c r="AQ108" s="22"/>
      <c r="AR108" s="22"/>
    </row>
    <row r="109" spans="41:44" x14ac:dyDescent="0.35">
      <c r="AO109" s="22"/>
      <c r="AP109" s="22"/>
      <c r="AQ109" s="22"/>
      <c r="AR109" s="22"/>
    </row>
    <row r="110" spans="41:44" x14ac:dyDescent="0.35">
      <c r="AO110" s="22"/>
      <c r="AP110" s="22"/>
      <c r="AQ110" s="22"/>
      <c r="AR110" s="22"/>
    </row>
    <row r="111" spans="41:44" x14ac:dyDescent="0.35">
      <c r="AO111" s="22"/>
      <c r="AP111" s="22"/>
      <c r="AQ111" s="22"/>
      <c r="AR111" s="22"/>
    </row>
    <row r="112" spans="41:44" x14ac:dyDescent="0.35">
      <c r="AO112" s="22"/>
      <c r="AP112" s="22"/>
      <c r="AQ112" s="22"/>
      <c r="AR112" s="22"/>
    </row>
    <row r="113" spans="41:44" x14ac:dyDescent="0.35">
      <c r="AO113" s="22"/>
      <c r="AP113" s="22"/>
      <c r="AQ113" s="22"/>
      <c r="AR113" s="22"/>
    </row>
    <row r="114" spans="41:44" x14ac:dyDescent="0.35">
      <c r="AO114" s="22"/>
      <c r="AP114" s="22"/>
      <c r="AQ114" s="22"/>
      <c r="AR114" s="22"/>
    </row>
    <row r="115" spans="41:44" x14ac:dyDescent="0.35">
      <c r="AO115" s="22"/>
      <c r="AP115" s="22"/>
      <c r="AQ115" s="22"/>
      <c r="AR115" s="22"/>
    </row>
    <row r="116" spans="41:44" x14ac:dyDescent="0.35">
      <c r="AO116" s="22"/>
      <c r="AP116" s="22"/>
      <c r="AQ116" s="22"/>
      <c r="AR116" s="22"/>
    </row>
    <row r="117" spans="41:44" x14ac:dyDescent="0.35">
      <c r="AO117" s="22"/>
      <c r="AP117" s="22"/>
      <c r="AQ117" s="22"/>
      <c r="AR117" s="22"/>
    </row>
    <row r="118" spans="41:44" x14ac:dyDescent="0.35">
      <c r="AO118" s="22"/>
      <c r="AP118" s="22"/>
      <c r="AQ118" s="22"/>
      <c r="AR118" s="22"/>
    </row>
    <row r="119" spans="41:44" x14ac:dyDescent="0.35">
      <c r="AO119" s="22"/>
      <c r="AP119" s="22"/>
      <c r="AQ119" s="22"/>
      <c r="AR119" s="22"/>
    </row>
    <row r="120" spans="41:44" x14ac:dyDescent="0.35">
      <c r="AO120" s="22"/>
      <c r="AP120" s="22"/>
      <c r="AQ120" s="22"/>
      <c r="AR120" s="22"/>
    </row>
    <row r="121" spans="41:44" x14ac:dyDescent="0.35">
      <c r="AO121" s="22"/>
      <c r="AP121" s="22"/>
      <c r="AQ121" s="22"/>
      <c r="AR121" s="22"/>
    </row>
    <row r="122" spans="41:44" x14ac:dyDescent="0.35">
      <c r="AO122" s="22"/>
      <c r="AP122" s="22"/>
      <c r="AQ122" s="22"/>
      <c r="AR122" s="22"/>
    </row>
    <row r="123" spans="41:44" x14ac:dyDescent="0.35">
      <c r="AO123" s="22"/>
      <c r="AP123" s="22"/>
      <c r="AQ123" s="22"/>
      <c r="AR123" s="22"/>
    </row>
    <row r="124" spans="41:44" x14ac:dyDescent="0.35">
      <c r="AO124" s="22"/>
      <c r="AP124" s="22"/>
      <c r="AQ124" s="22"/>
      <c r="AR124" s="22"/>
    </row>
    <row r="125" spans="41:44" x14ac:dyDescent="0.35">
      <c r="AO125" s="22"/>
      <c r="AP125" s="22"/>
      <c r="AQ125" s="22"/>
      <c r="AR125" s="22"/>
    </row>
    <row r="126" spans="41:44" x14ac:dyDescent="0.35">
      <c r="AO126" s="22"/>
      <c r="AP126" s="22"/>
      <c r="AQ126" s="22"/>
      <c r="AR126" s="22"/>
    </row>
    <row r="127" spans="41:44" x14ac:dyDescent="0.35">
      <c r="AO127" s="22"/>
      <c r="AP127" s="22"/>
      <c r="AQ127" s="22"/>
      <c r="AR127" s="22"/>
    </row>
    <row r="128" spans="41:44" x14ac:dyDescent="0.35">
      <c r="AO128" s="22"/>
      <c r="AP128" s="22"/>
      <c r="AQ128" s="22"/>
      <c r="AR128" s="22"/>
    </row>
    <row r="129" spans="41:44" x14ac:dyDescent="0.35">
      <c r="AO129" s="22"/>
      <c r="AP129" s="22"/>
      <c r="AQ129" s="22"/>
      <c r="AR129" s="22"/>
    </row>
    <row r="130" spans="41:44" x14ac:dyDescent="0.35">
      <c r="AO130" s="22"/>
      <c r="AP130" s="22"/>
      <c r="AQ130" s="22"/>
      <c r="AR130" s="22"/>
    </row>
    <row r="131" spans="41:44" x14ac:dyDescent="0.35">
      <c r="AO131" s="22"/>
      <c r="AP131" s="22"/>
      <c r="AQ131" s="22"/>
      <c r="AR131" s="22"/>
    </row>
    <row r="132" spans="41:44" x14ac:dyDescent="0.35">
      <c r="AO132" s="22"/>
      <c r="AP132" s="22"/>
      <c r="AQ132" s="22"/>
      <c r="AR132" s="22"/>
    </row>
    <row r="133" spans="41:44" x14ac:dyDescent="0.35">
      <c r="AO133" s="22"/>
      <c r="AP133" s="22"/>
      <c r="AQ133" s="22"/>
      <c r="AR133" s="22"/>
    </row>
    <row r="134" spans="41:44" x14ac:dyDescent="0.35">
      <c r="AO134" s="22"/>
      <c r="AP134" s="22"/>
      <c r="AQ134" s="22"/>
      <c r="AR134" s="22"/>
    </row>
    <row r="135" spans="41:44" x14ac:dyDescent="0.35">
      <c r="AO135" s="22"/>
      <c r="AP135" s="22"/>
      <c r="AQ135" s="22"/>
      <c r="AR135" s="22"/>
    </row>
    <row r="136" spans="41:44" x14ac:dyDescent="0.35">
      <c r="AO136" s="22"/>
      <c r="AP136" s="22"/>
      <c r="AQ136" s="22"/>
      <c r="AR136" s="22"/>
    </row>
    <row r="137" spans="41:44" x14ac:dyDescent="0.35">
      <c r="AO137" s="22"/>
      <c r="AP137" s="22"/>
      <c r="AQ137" s="22"/>
      <c r="AR137" s="22"/>
    </row>
    <row r="138" spans="41:44" x14ac:dyDescent="0.35">
      <c r="AO138" s="22"/>
      <c r="AP138" s="22"/>
      <c r="AQ138" s="22"/>
      <c r="AR138" s="22"/>
    </row>
    <row r="139" spans="41:44" x14ac:dyDescent="0.35">
      <c r="AO139" s="22"/>
      <c r="AP139" s="22"/>
      <c r="AQ139" s="22"/>
      <c r="AR139" s="22"/>
    </row>
    <row r="140" spans="41:44" x14ac:dyDescent="0.35">
      <c r="AO140" s="22"/>
      <c r="AP140" s="22"/>
      <c r="AQ140" s="22"/>
      <c r="AR140" s="22"/>
    </row>
    <row r="141" spans="41:44" x14ac:dyDescent="0.35">
      <c r="AO141" s="22"/>
      <c r="AP141" s="22"/>
      <c r="AQ141" s="22"/>
      <c r="AR141" s="22"/>
    </row>
    <row r="142" spans="41:44" x14ac:dyDescent="0.35">
      <c r="AO142" s="22"/>
      <c r="AP142" s="22"/>
      <c r="AQ142" s="22"/>
      <c r="AR142" s="22"/>
    </row>
    <row r="143" spans="41:44" x14ac:dyDescent="0.35">
      <c r="AO143" s="22"/>
      <c r="AP143" s="22"/>
      <c r="AQ143" s="22"/>
      <c r="AR143" s="22"/>
    </row>
    <row r="144" spans="41:44" x14ac:dyDescent="0.35">
      <c r="AO144" s="22"/>
      <c r="AP144" s="22"/>
      <c r="AQ144" s="22"/>
      <c r="AR144" s="22"/>
    </row>
    <row r="145" spans="41:44" x14ac:dyDescent="0.35">
      <c r="AO145" s="22"/>
      <c r="AP145" s="22"/>
      <c r="AQ145" s="22"/>
      <c r="AR145" s="22"/>
    </row>
    <row r="146" spans="41:44" x14ac:dyDescent="0.35">
      <c r="AO146" s="22"/>
      <c r="AP146" s="22"/>
      <c r="AQ146" s="22"/>
      <c r="AR146" s="22"/>
    </row>
    <row r="147" spans="41:44" x14ac:dyDescent="0.35">
      <c r="AO147" s="22"/>
      <c r="AP147" s="22"/>
      <c r="AQ147" s="22"/>
      <c r="AR147" s="22"/>
    </row>
    <row r="148" spans="41:44" x14ac:dyDescent="0.35">
      <c r="AO148" s="22"/>
      <c r="AP148" s="22"/>
      <c r="AQ148" s="22"/>
      <c r="AR148" s="22"/>
    </row>
    <row r="149" spans="41:44" x14ac:dyDescent="0.35">
      <c r="AO149" s="22"/>
      <c r="AP149" s="22"/>
      <c r="AQ149" s="22"/>
      <c r="AR149" s="22"/>
    </row>
    <row r="150" spans="41:44" x14ac:dyDescent="0.35">
      <c r="AO150" s="22"/>
      <c r="AP150" s="22"/>
      <c r="AQ150" s="22"/>
      <c r="AR150" s="22"/>
    </row>
    <row r="151" spans="41:44" x14ac:dyDescent="0.35">
      <c r="AO151" s="22"/>
      <c r="AP151" s="22"/>
      <c r="AQ151" s="22"/>
      <c r="AR151" s="22"/>
    </row>
    <row r="152" spans="41:44" x14ac:dyDescent="0.35">
      <c r="AO152" s="22"/>
      <c r="AP152" s="22"/>
      <c r="AQ152" s="22"/>
      <c r="AR152" s="22"/>
    </row>
    <row r="153" spans="41:44" x14ac:dyDescent="0.35">
      <c r="AO153" s="22"/>
      <c r="AP153" s="22"/>
      <c r="AQ153" s="22"/>
      <c r="AR153" s="22"/>
    </row>
    <row r="154" spans="41:44" x14ac:dyDescent="0.35">
      <c r="AO154" s="22"/>
      <c r="AP154" s="22"/>
      <c r="AQ154" s="22"/>
      <c r="AR154" s="22"/>
    </row>
    <row r="155" spans="41:44" x14ac:dyDescent="0.35">
      <c r="AO155" s="22"/>
      <c r="AP155" s="22"/>
      <c r="AQ155" s="22"/>
      <c r="AR155" s="22"/>
    </row>
    <row r="156" spans="41:44" x14ac:dyDescent="0.35">
      <c r="AO156" s="22"/>
      <c r="AP156" s="22"/>
      <c r="AQ156" s="22"/>
      <c r="AR156" s="22"/>
    </row>
    <row r="157" spans="41:44" x14ac:dyDescent="0.35">
      <c r="AO157" s="22"/>
      <c r="AP157" s="22"/>
      <c r="AQ157" s="22"/>
      <c r="AR157" s="22"/>
    </row>
    <row r="158" spans="41:44" x14ac:dyDescent="0.35">
      <c r="AO158" s="22"/>
      <c r="AP158" s="22"/>
      <c r="AQ158" s="22"/>
      <c r="AR158" s="22"/>
    </row>
    <row r="159" spans="41:44" x14ac:dyDescent="0.35">
      <c r="AO159" s="22"/>
      <c r="AP159" s="22"/>
      <c r="AQ159" s="22"/>
      <c r="AR159" s="22"/>
    </row>
    <row r="160" spans="41:44" x14ac:dyDescent="0.35">
      <c r="AO160" s="22"/>
      <c r="AP160" s="22"/>
      <c r="AQ160" s="22"/>
      <c r="AR160" s="22"/>
    </row>
    <row r="161" spans="41:44" x14ac:dyDescent="0.35">
      <c r="AO161" s="22"/>
      <c r="AP161" s="22"/>
      <c r="AQ161" s="22"/>
      <c r="AR161" s="22"/>
    </row>
    <row r="162" spans="41:44" x14ac:dyDescent="0.35">
      <c r="AO162" s="22"/>
      <c r="AP162" s="22"/>
      <c r="AQ162" s="22"/>
      <c r="AR162" s="22"/>
    </row>
    <row r="163" spans="41:44" x14ac:dyDescent="0.35">
      <c r="AO163" s="22"/>
      <c r="AP163" s="22"/>
      <c r="AQ163" s="22"/>
      <c r="AR163" s="22"/>
    </row>
    <row r="164" spans="41:44" x14ac:dyDescent="0.35">
      <c r="AO164" s="22"/>
      <c r="AP164" s="22"/>
      <c r="AQ164" s="22"/>
      <c r="AR164" s="22"/>
    </row>
    <row r="165" spans="41:44" x14ac:dyDescent="0.35">
      <c r="AO165" s="22"/>
      <c r="AP165" s="22"/>
      <c r="AQ165" s="22"/>
      <c r="AR165" s="22"/>
    </row>
    <row r="166" spans="41:44" x14ac:dyDescent="0.35">
      <c r="AO166" s="22"/>
      <c r="AP166" s="22"/>
      <c r="AQ166" s="22"/>
      <c r="AR166" s="22"/>
    </row>
    <row r="167" spans="41:44" x14ac:dyDescent="0.35">
      <c r="AO167" s="22"/>
      <c r="AP167" s="22"/>
      <c r="AQ167" s="22"/>
      <c r="AR167" s="22"/>
    </row>
    <row r="168" spans="41:44" x14ac:dyDescent="0.35">
      <c r="AO168" s="22"/>
      <c r="AP168" s="22"/>
      <c r="AQ168" s="22"/>
      <c r="AR168" s="22"/>
    </row>
    <row r="169" spans="41:44" x14ac:dyDescent="0.35">
      <c r="AO169" s="22"/>
      <c r="AP169" s="22"/>
      <c r="AQ169" s="22"/>
      <c r="AR169" s="22"/>
    </row>
    <row r="170" spans="41:44" x14ac:dyDescent="0.35">
      <c r="AO170" s="22"/>
      <c r="AP170" s="22"/>
      <c r="AQ170" s="22"/>
      <c r="AR170" s="22"/>
    </row>
    <row r="171" spans="41:44" x14ac:dyDescent="0.35">
      <c r="AO171" s="22"/>
      <c r="AP171" s="22"/>
      <c r="AQ171" s="22"/>
      <c r="AR171" s="22"/>
    </row>
    <row r="172" spans="41:44" x14ac:dyDescent="0.35">
      <c r="AO172" s="22"/>
      <c r="AP172" s="22"/>
      <c r="AQ172" s="22"/>
      <c r="AR172" s="22"/>
    </row>
    <row r="173" spans="41:44" x14ac:dyDescent="0.35">
      <c r="AO173" s="22"/>
      <c r="AP173" s="22"/>
      <c r="AQ173" s="22"/>
      <c r="AR173" s="22"/>
    </row>
    <row r="174" spans="41:44" x14ac:dyDescent="0.35">
      <c r="AO174" s="22"/>
      <c r="AP174" s="22"/>
      <c r="AQ174" s="22"/>
      <c r="AR174" s="22"/>
    </row>
    <row r="175" spans="41:44" x14ac:dyDescent="0.35">
      <c r="AO175" s="22"/>
      <c r="AP175" s="22"/>
      <c r="AQ175" s="22"/>
      <c r="AR175" s="22"/>
    </row>
    <row r="176" spans="41:44" x14ac:dyDescent="0.35">
      <c r="AO176" s="22"/>
      <c r="AP176" s="22"/>
      <c r="AQ176" s="22"/>
      <c r="AR176" s="22"/>
    </row>
    <row r="177" spans="41:44" x14ac:dyDescent="0.35">
      <c r="AO177" s="22"/>
      <c r="AP177" s="22"/>
      <c r="AQ177" s="22"/>
      <c r="AR177" s="22"/>
    </row>
    <row r="178" spans="41:44" x14ac:dyDescent="0.35">
      <c r="AO178" s="22"/>
      <c r="AP178" s="22"/>
      <c r="AQ178" s="22"/>
      <c r="AR178" s="22"/>
    </row>
    <row r="179" spans="41:44" x14ac:dyDescent="0.35">
      <c r="AO179" s="22"/>
      <c r="AP179" s="22"/>
      <c r="AQ179" s="22"/>
      <c r="AR179" s="22"/>
    </row>
    <row r="180" spans="41:44" x14ac:dyDescent="0.35">
      <c r="AO180" s="22"/>
      <c r="AP180" s="22"/>
      <c r="AQ180" s="22"/>
      <c r="AR180" s="22"/>
    </row>
    <row r="181" spans="41:44" x14ac:dyDescent="0.35">
      <c r="AO181" s="22"/>
      <c r="AP181" s="22"/>
      <c r="AQ181" s="22"/>
      <c r="AR181" s="22"/>
    </row>
    <row r="182" spans="41:44" x14ac:dyDescent="0.35">
      <c r="AO182" s="22"/>
      <c r="AP182" s="22"/>
      <c r="AQ182" s="22"/>
      <c r="AR182" s="22"/>
    </row>
    <row r="183" spans="41:44" x14ac:dyDescent="0.35">
      <c r="AO183" s="22"/>
      <c r="AP183" s="22"/>
      <c r="AQ183" s="22"/>
      <c r="AR183" s="22"/>
    </row>
    <row r="184" spans="41:44" x14ac:dyDescent="0.35">
      <c r="AO184" s="22"/>
      <c r="AP184" s="22"/>
      <c r="AQ184" s="22"/>
      <c r="AR184" s="22"/>
    </row>
    <row r="185" spans="41:44" x14ac:dyDescent="0.35">
      <c r="AO185" s="22"/>
      <c r="AP185" s="22"/>
      <c r="AQ185" s="22"/>
      <c r="AR185" s="22"/>
    </row>
    <row r="186" spans="41:44" x14ac:dyDescent="0.35">
      <c r="AO186" s="22"/>
      <c r="AP186" s="22"/>
      <c r="AQ186" s="22"/>
      <c r="AR186" s="22"/>
    </row>
    <row r="187" spans="41:44" x14ac:dyDescent="0.35">
      <c r="AO187" s="22"/>
      <c r="AP187" s="22"/>
      <c r="AQ187" s="22"/>
      <c r="AR187" s="22"/>
    </row>
    <row r="188" spans="41:44" x14ac:dyDescent="0.35">
      <c r="AO188" s="22"/>
      <c r="AP188" s="22"/>
      <c r="AQ188" s="22"/>
      <c r="AR188" s="22"/>
    </row>
    <row r="189" spans="41:44" x14ac:dyDescent="0.35">
      <c r="AO189" s="22"/>
      <c r="AP189" s="22"/>
      <c r="AQ189" s="22"/>
      <c r="AR189" s="22"/>
    </row>
    <row r="190" spans="41:44" x14ac:dyDescent="0.35">
      <c r="AO190" s="22"/>
      <c r="AP190" s="22"/>
      <c r="AQ190" s="22"/>
      <c r="AR190" s="22"/>
    </row>
    <row r="191" spans="41:44" x14ac:dyDescent="0.35">
      <c r="AO191" s="22"/>
      <c r="AP191" s="22"/>
      <c r="AQ191" s="22"/>
      <c r="AR191" s="22"/>
    </row>
    <row r="192" spans="41:44" x14ac:dyDescent="0.35">
      <c r="AO192" s="22"/>
      <c r="AP192" s="22"/>
      <c r="AQ192" s="22"/>
      <c r="AR192" s="22"/>
    </row>
    <row r="193" spans="41:44" x14ac:dyDescent="0.35">
      <c r="AO193" s="22"/>
      <c r="AP193" s="22"/>
      <c r="AQ193" s="22"/>
      <c r="AR193" s="22"/>
    </row>
    <row r="194" spans="41:44" x14ac:dyDescent="0.35">
      <c r="AO194" s="22"/>
      <c r="AP194" s="22"/>
      <c r="AQ194" s="22"/>
      <c r="AR194" s="22"/>
    </row>
    <row r="195" spans="41:44" x14ac:dyDescent="0.35">
      <c r="AO195" s="22"/>
      <c r="AP195" s="22"/>
      <c r="AQ195" s="22"/>
      <c r="AR195" s="22"/>
    </row>
    <row r="196" spans="41:44" x14ac:dyDescent="0.35">
      <c r="AO196" s="22"/>
      <c r="AP196" s="22"/>
      <c r="AQ196" s="22"/>
      <c r="AR196" s="22"/>
    </row>
    <row r="197" spans="41:44" x14ac:dyDescent="0.35">
      <c r="AO197" s="22"/>
      <c r="AP197" s="22"/>
      <c r="AQ197" s="22"/>
      <c r="AR197" s="22"/>
    </row>
    <row r="198" spans="41:44" x14ac:dyDescent="0.35">
      <c r="AO198" s="22"/>
      <c r="AP198" s="22"/>
      <c r="AQ198" s="22"/>
      <c r="AR198" s="22"/>
    </row>
    <row r="199" spans="41:44" x14ac:dyDescent="0.35">
      <c r="AO199" s="22"/>
      <c r="AP199" s="22"/>
      <c r="AQ199" s="22"/>
      <c r="AR199" s="22"/>
    </row>
    <row r="200" spans="41:44" x14ac:dyDescent="0.35">
      <c r="AO200" s="22"/>
      <c r="AP200" s="22"/>
      <c r="AQ200" s="22"/>
      <c r="AR200" s="22"/>
    </row>
    <row r="201" spans="41:44" x14ac:dyDescent="0.35">
      <c r="AO201" s="22"/>
      <c r="AP201" s="22"/>
      <c r="AQ201" s="22"/>
      <c r="AR201" s="22"/>
    </row>
    <row r="202" spans="41:44" x14ac:dyDescent="0.35">
      <c r="AO202" s="22"/>
      <c r="AP202" s="22"/>
      <c r="AQ202" s="22"/>
      <c r="AR202" s="22"/>
    </row>
    <row r="203" spans="41:44" x14ac:dyDescent="0.35">
      <c r="AO203" s="22"/>
      <c r="AP203" s="22"/>
      <c r="AQ203" s="22"/>
      <c r="AR203" s="22"/>
    </row>
    <row r="204" spans="41:44" x14ac:dyDescent="0.35">
      <c r="AO204" s="22"/>
      <c r="AP204" s="22"/>
      <c r="AQ204" s="22"/>
      <c r="AR204" s="22"/>
    </row>
    <row r="205" spans="41:44" x14ac:dyDescent="0.35">
      <c r="AO205" s="22"/>
      <c r="AP205" s="22"/>
      <c r="AQ205" s="22"/>
      <c r="AR205" s="22"/>
    </row>
    <row r="206" spans="41:44" x14ac:dyDescent="0.35">
      <c r="AO206" s="22"/>
      <c r="AP206" s="22"/>
      <c r="AQ206" s="22"/>
      <c r="AR206" s="22"/>
    </row>
    <row r="207" spans="41:44" x14ac:dyDescent="0.35">
      <c r="AO207" s="22"/>
      <c r="AP207" s="22"/>
      <c r="AQ207" s="22"/>
      <c r="AR207" s="22"/>
    </row>
    <row r="208" spans="41:44" x14ac:dyDescent="0.35">
      <c r="AO208" s="22"/>
      <c r="AP208" s="22"/>
      <c r="AQ208" s="22"/>
      <c r="AR208" s="22"/>
    </row>
    <row r="209" spans="21:44" x14ac:dyDescent="0.35">
      <c r="AO209" s="22"/>
      <c r="AP209" s="22"/>
      <c r="AQ209" s="22"/>
      <c r="AR209" s="22"/>
    </row>
    <row r="210" spans="21:44" x14ac:dyDescent="0.35">
      <c r="AO210" s="22"/>
      <c r="AP210" s="22"/>
      <c r="AQ210" s="22"/>
      <c r="AR210" s="22"/>
    </row>
    <row r="211" spans="21:44" x14ac:dyDescent="0.35">
      <c r="AO211" s="22"/>
      <c r="AP211" s="22"/>
      <c r="AQ211" s="22"/>
      <c r="AR211" s="22"/>
    </row>
    <row r="212" spans="21:44" x14ac:dyDescent="0.35">
      <c r="AO212" s="22"/>
      <c r="AP212" s="22"/>
      <c r="AQ212" s="22"/>
      <c r="AR212" s="22"/>
    </row>
    <row r="213" spans="21:44" x14ac:dyDescent="0.35">
      <c r="AO213" s="22"/>
      <c r="AP213" s="22"/>
      <c r="AQ213" s="22"/>
      <c r="AR213" s="22"/>
    </row>
    <row r="214" spans="21:44" x14ac:dyDescent="0.35">
      <c r="AO214" s="22"/>
      <c r="AP214" s="22"/>
      <c r="AQ214" s="22"/>
      <c r="AR214" s="22"/>
    </row>
    <row r="215" spans="21:44" x14ac:dyDescent="0.35">
      <c r="AO215" s="22"/>
      <c r="AP215" s="22"/>
      <c r="AQ215" s="22"/>
      <c r="AR215" s="22"/>
    </row>
    <row r="216" spans="21:44" x14ac:dyDescent="0.35">
      <c r="AO216" s="22"/>
      <c r="AP216" s="22"/>
      <c r="AQ216" s="22"/>
      <c r="AR216" s="22"/>
    </row>
    <row r="217" spans="21:44" x14ac:dyDescent="0.35">
      <c r="AO217" s="22"/>
      <c r="AP217" s="22"/>
      <c r="AQ217" s="22"/>
      <c r="AR217" s="22"/>
    </row>
    <row r="218" spans="21:44" x14ac:dyDescent="0.35">
      <c r="U218" s="22"/>
      <c r="V218" s="22"/>
      <c r="W218" s="22"/>
      <c r="X218" s="22"/>
      <c r="AO218" s="22"/>
      <c r="AP218" s="22"/>
      <c r="AQ218" s="22"/>
      <c r="AR218" s="22"/>
    </row>
    <row r="219" spans="21:44" x14ac:dyDescent="0.35">
      <c r="U219" s="22"/>
      <c r="V219" s="22"/>
      <c r="W219" s="22"/>
      <c r="X219" s="22"/>
      <c r="AO219" s="22"/>
      <c r="AP219" s="22"/>
      <c r="AQ219" s="22"/>
      <c r="AR219" s="22"/>
    </row>
    <row r="220" spans="21:44" x14ac:dyDescent="0.35">
      <c r="U220" s="22"/>
      <c r="V220" s="22"/>
      <c r="W220" s="22"/>
      <c r="X220" s="22"/>
      <c r="AO220" s="22"/>
      <c r="AP220" s="22"/>
      <c r="AQ220" s="22"/>
      <c r="AR220" s="22"/>
    </row>
    <row r="221" spans="21:44" x14ac:dyDescent="0.35">
      <c r="U221" s="22"/>
      <c r="V221" s="22"/>
      <c r="W221" s="22"/>
      <c r="X221" s="22"/>
      <c r="AO221" s="22"/>
      <c r="AP221" s="22"/>
      <c r="AQ221" s="22"/>
      <c r="AR221" s="22"/>
    </row>
    <row r="222" spans="21:44" x14ac:dyDescent="0.35">
      <c r="U222" s="22"/>
      <c r="V222" s="22"/>
      <c r="W222" s="22"/>
      <c r="X222" s="22"/>
      <c r="AO222" s="22"/>
      <c r="AP222" s="22"/>
      <c r="AQ222" s="22"/>
      <c r="AR222" s="22"/>
    </row>
    <row r="223" spans="21:44" x14ac:dyDescent="0.35">
      <c r="U223" s="22"/>
      <c r="V223" s="22"/>
      <c r="W223" s="22"/>
      <c r="X223" s="22"/>
      <c r="AO223" s="22"/>
      <c r="AP223" s="22"/>
      <c r="AQ223" s="22"/>
      <c r="AR223" s="22"/>
    </row>
    <row r="224" spans="21:44" x14ac:dyDescent="0.35">
      <c r="U224" s="22"/>
      <c r="V224" s="22"/>
      <c r="W224" s="22"/>
      <c r="X224" s="22"/>
      <c r="AO224" s="22"/>
      <c r="AP224" s="22"/>
      <c r="AQ224" s="22"/>
      <c r="AR224" s="22"/>
    </row>
    <row r="225" spans="21:44" x14ac:dyDescent="0.35">
      <c r="U225" s="22"/>
      <c r="V225" s="22"/>
      <c r="W225" s="22"/>
      <c r="X225" s="22"/>
      <c r="AO225" s="22"/>
      <c r="AP225" s="22"/>
      <c r="AQ225" s="22"/>
      <c r="AR225" s="22"/>
    </row>
    <row r="226" spans="21:44" x14ac:dyDescent="0.35">
      <c r="U226" s="22"/>
      <c r="V226" s="22"/>
      <c r="W226" s="22"/>
      <c r="X226" s="22"/>
      <c r="AO226" s="22"/>
      <c r="AP226" s="22"/>
      <c r="AQ226" s="22"/>
      <c r="AR226" s="22"/>
    </row>
    <row r="227" spans="21:44" x14ac:dyDescent="0.35">
      <c r="U227" s="22"/>
      <c r="V227" s="22"/>
      <c r="W227" s="22"/>
      <c r="X227" s="22"/>
    </row>
    <row r="228" spans="21:44" x14ac:dyDescent="0.35">
      <c r="U228" s="22"/>
      <c r="V228" s="22"/>
      <c r="W228" s="22"/>
      <c r="X228" s="22"/>
    </row>
    <row r="229" spans="21:44" x14ac:dyDescent="0.35">
      <c r="U229" s="22"/>
      <c r="V229" s="22"/>
      <c r="W229" s="22"/>
      <c r="X229" s="22"/>
    </row>
    <row r="230" spans="21:44" x14ac:dyDescent="0.35">
      <c r="U230" s="22"/>
      <c r="V230" s="22"/>
      <c r="W230" s="22"/>
      <c r="X230" s="22"/>
    </row>
    <row r="231" spans="21:44" x14ac:dyDescent="0.35">
      <c r="U231" s="22"/>
      <c r="V231" s="22"/>
      <c r="W231" s="22"/>
      <c r="X231" s="22"/>
    </row>
    <row r="232" spans="21:44" x14ac:dyDescent="0.35">
      <c r="U232" s="22"/>
      <c r="V232" s="22"/>
      <c r="W232" s="22"/>
      <c r="X232" s="22"/>
    </row>
    <row r="233" spans="21:44" x14ac:dyDescent="0.35">
      <c r="U233" s="22"/>
      <c r="V233" s="22"/>
      <c r="W233" s="22"/>
      <c r="X233" s="22"/>
    </row>
    <row r="234" spans="21:44" x14ac:dyDescent="0.35">
      <c r="U234" s="22"/>
      <c r="V234" s="22"/>
      <c r="W234" s="22"/>
      <c r="X234" s="22"/>
    </row>
    <row r="235" spans="21:44" x14ac:dyDescent="0.35">
      <c r="U235" s="22"/>
      <c r="V235" s="22"/>
      <c r="W235" s="22"/>
      <c r="X235" s="22"/>
    </row>
    <row r="236" spans="21:44" x14ac:dyDescent="0.35">
      <c r="U236" s="22"/>
      <c r="V236" s="22"/>
      <c r="W236" s="22"/>
      <c r="X236" s="22"/>
    </row>
    <row r="237" spans="21:44" x14ac:dyDescent="0.35">
      <c r="U237" s="22"/>
      <c r="V237" s="22"/>
      <c r="W237" s="22"/>
      <c r="X237" s="22"/>
    </row>
    <row r="238" spans="21:44" x14ac:dyDescent="0.35">
      <c r="U238" s="22"/>
      <c r="V238" s="22"/>
      <c r="W238" s="22"/>
      <c r="X238" s="22"/>
    </row>
    <row r="239" spans="21:44" x14ac:dyDescent="0.35">
      <c r="U239" s="22"/>
      <c r="V239" s="22"/>
      <c r="W239" s="22"/>
      <c r="X239" s="22"/>
    </row>
    <row r="240" spans="21:44" x14ac:dyDescent="0.35">
      <c r="U240" s="22"/>
      <c r="V240" s="22"/>
      <c r="W240" s="22"/>
      <c r="X240" s="22"/>
    </row>
    <row r="241" spans="21:24" x14ac:dyDescent="0.35">
      <c r="U241" s="22"/>
      <c r="V241" s="22"/>
      <c r="W241" s="22"/>
      <c r="X241" s="22"/>
    </row>
    <row r="242" spans="21:24" x14ac:dyDescent="0.35">
      <c r="U242" s="22"/>
      <c r="V242" s="22"/>
      <c r="W242" s="22"/>
      <c r="X242" s="22"/>
    </row>
    <row r="243" spans="21:24" x14ac:dyDescent="0.35">
      <c r="U243" s="22"/>
      <c r="V243" s="22"/>
      <c r="W243" s="22"/>
      <c r="X243" s="22"/>
    </row>
    <row r="244" spans="21:24" x14ac:dyDescent="0.35">
      <c r="U244" s="22"/>
      <c r="V244" s="22"/>
      <c r="W244" s="22"/>
      <c r="X244" s="22"/>
    </row>
    <row r="245" spans="21:24" x14ac:dyDescent="0.35">
      <c r="U245" s="22"/>
      <c r="V245" s="22"/>
      <c r="W245" s="22"/>
      <c r="X245" s="22"/>
    </row>
    <row r="246" spans="21:24" x14ac:dyDescent="0.35">
      <c r="U246" s="22"/>
      <c r="V246" s="22"/>
      <c r="W246" s="22"/>
      <c r="X246" s="22"/>
    </row>
    <row r="247" spans="21:24" x14ac:dyDescent="0.35">
      <c r="U247" s="22"/>
      <c r="V247" s="22"/>
      <c r="W247" s="22"/>
      <c r="X247" s="22"/>
    </row>
    <row r="248" spans="21:24" x14ac:dyDescent="0.35">
      <c r="U248" s="22"/>
      <c r="V248" s="22"/>
      <c r="W248" s="22"/>
      <c r="X248" s="22"/>
    </row>
    <row r="249" spans="21:24" x14ac:dyDescent="0.35">
      <c r="U249" s="22"/>
      <c r="V249" s="22"/>
      <c r="W249" s="22"/>
      <c r="X249" s="22"/>
    </row>
    <row r="250" spans="21:24" x14ac:dyDescent="0.35">
      <c r="U250" s="22"/>
      <c r="V250" s="22"/>
      <c r="W250" s="22"/>
      <c r="X250" s="22"/>
    </row>
    <row r="251" spans="21:24" x14ac:dyDescent="0.35">
      <c r="U251" s="22"/>
      <c r="V251" s="22"/>
      <c r="W251" s="22"/>
      <c r="X251" s="22"/>
    </row>
    <row r="252" spans="21:24" x14ac:dyDescent="0.35">
      <c r="U252" s="22"/>
      <c r="V252" s="22"/>
      <c r="W252" s="22"/>
      <c r="X252" s="22"/>
    </row>
    <row r="253" spans="21:24" x14ac:dyDescent="0.35">
      <c r="U253" s="22"/>
      <c r="V253" s="22"/>
      <c r="W253" s="22"/>
      <c r="X253" s="22"/>
    </row>
    <row r="254" spans="21:24" x14ac:dyDescent="0.35">
      <c r="U254" s="22"/>
      <c r="V254" s="22"/>
      <c r="W254" s="22"/>
      <c r="X254" s="22"/>
    </row>
    <row r="255" spans="21:24" x14ac:dyDescent="0.35">
      <c r="U255" s="22"/>
      <c r="V255" s="22"/>
      <c r="W255" s="22"/>
      <c r="X255" s="22"/>
    </row>
    <row r="256" spans="21:24" x14ac:dyDescent="0.35">
      <c r="U256" s="22"/>
      <c r="V256" s="22"/>
      <c r="W256" s="22"/>
      <c r="X256" s="22"/>
    </row>
    <row r="257" spans="21:24" x14ac:dyDescent="0.35">
      <c r="U257" s="22"/>
      <c r="V257" s="22"/>
      <c r="W257" s="22"/>
      <c r="X257" s="22"/>
    </row>
    <row r="258" spans="21:24" x14ac:dyDescent="0.35">
      <c r="U258" s="22"/>
      <c r="V258" s="22"/>
      <c r="W258" s="22"/>
      <c r="X258" s="22"/>
    </row>
    <row r="259" spans="21:24" x14ac:dyDescent="0.35">
      <c r="U259" s="22"/>
      <c r="V259" s="22"/>
      <c r="W259" s="22"/>
      <c r="X259" s="22"/>
    </row>
    <row r="260" spans="21:24" x14ac:dyDescent="0.35">
      <c r="U260" s="22"/>
      <c r="V260" s="22"/>
      <c r="W260" s="22"/>
      <c r="X260" s="22"/>
    </row>
    <row r="261" spans="21:24" x14ac:dyDescent="0.35">
      <c r="U261" s="22"/>
      <c r="V261" s="22"/>
      <c r="W261" s="22"/>
      <c r="X261" s="22"/>
    </row>
    <row r="262" spans="21:24" x14ac:dyDescent="0.35">
      <c r="U262" s="22"/>
      <c r="V262" s="22"/>
      <c r="W262" s="22"/>
      <c r="X262" s="22"/>
    </row>
    <row r="263" spans="21:24" x14ac:dyDescent="0.35">
      <c r="U263" s="22"/>
      <c r="V263" s="22"/>
      <c r="W263" s="22"/>
      <c r="X263" s="22"/>
    </row>
    <row r="264" spans="21:24" x14ac:dyDescent="0.35">
      <c r="U264" s="22"/>
      <c r="V264" s="22"/>
      <c r="W264" s="22"/>
      <c r="X264" s="22"/>
    </row>
    <row r="265" spans="21:24" x14ac:dyDescent="0.35">
      <c r="U265" s="22"/>
      <c r="V265" s="22"/>
      <c r="W265" s="22"/>
      <c r="X265" s="22"/>
    </row>
    <row r="266" spans="21:24" x14ac:dyDescent="0.35">
      <c r="U266" s="22"/>
      <c r="V266" s="22"/>
      <c r="W266" s="22"/>
      <c r="X266" s="22"/>
    </row>
    <row r="267" spans="21:24" x14ac:dyDescent="0.35">
      <c r="U267" s="22"/>
      <c r="V267" s="22"/>
      <c r="W267" s="22"/>
      <c r="X267" s="22"/>
    </row>
    <row r="268" spans="21:24" x14ac:dyDescent="0.35">
      <c r="U268" s="22"/>
      <c r="V268" s="22"/>
      <c r="W268" s="22"/>
      <c r="X268" s="22"/>
    </row>
    <row r="269" spans="21:24" x14ac:dyDescent="0.35">
      <c r="U269" s="22"/>
      <c r="V269" s="22"/>
      <c r="W269" s="22"/>
      <c r="X269" s="22"/>
    </row>
    <row r="270" spans="21:24" x14ac:dyDescent="0.35">
      <c r="U270" s="22"/>
      <c r="V270" s="22"/>
      <c r="W270" s="22"/>
      <c r="X270" s="22"/>
    </row>
    <row r="271" spans="21:24" x14ac:dyDescent="0.35">
      <c r="U271" s="22"/>
      <c r="V271" s="22"/>
      <c r="W271" s="22"/>
      <c r="X271" s="22"/>
    </row>
    <row r="272" spans="21:24" x14ac:dyDescent="0.35">
      <c r="U272" s="22"/>
      <c r="V272" s="22"/>
      <c r="W272" s="22"/>
      <c r="X272" s="22"/>
    </row>
    <row r="273" spans="21:24" x14ac:dyDescent="0.35">
      <c r="U273" s="22"/>
      <c r="V273" s="22"/>
      <c r="W273" s="22"/>
      <c r="X273" s="22"/>
    </row>
    <row r="274" spans="21:24" x14ac:dyDescent="0.35">
      <c r="U274" s="22"/>
      <c r="V274" s="22"/>
      <c r="W274" s="22"/>
      <c r="X274" s="22"/>
    </row>
    <row r="275" spans="21:24" x14ac:dyDescent="0.35">
      <c r="U275" s="22"/>
      <c r="V275" s="22"/>
      <c r="W275" s="22"/>
      <c r="X275" s="22"/>
    </row>
    <row r="276" spans="21:24" x14ac:dyDescent="0.35">
      <c r="U276" s="22"/>
      <c r="V276" s="22"/>
      <c r="W276" s="22"/>
      <c r="X276" s="22"/>
    </row>
    <row r="277" spans="21:24" x14ac:dyDescent="0.35">
      <c r="U277" s="22"/>
      <c r="V277" s="22"/>
      <c r="W277" s="22"/>
      <c r="X277" s="22"/>
    </row>
    <row r="278" spans="21:24" x14ac:dyDescent="0.35">
      <c r="U278" s="22"/>
      <c r="V278" s="22"/>
      <c r="W278" s="22"/>
      <c r="X278" s="22"/>
    </row>
    <row r="279" spans="21:24" x14ac:dyDescent="0.35">
      <c r="U279" s="22"/>
      <c r="V279" s="22"/>
      <c r="W279" s="22"/>
      <c r="X279" s="22"/>
    </row>
    <row r="280" spans="21:24" x14ac:dyDescent="0.35">
      <c r="U280" s="22"/>
      <c r="V280" s="22"/>
      <c r="W280" s="22"/>
      <c r="X280" s="22"/>
    </row>
    <row r="281" spans="21:24" x14ac:dyDescent="0.35">
      <c r="U281" s="22"/>
      <c r="V281" s="22"/>
      <c r="W281" s="22"/>
      <c r="X281" s="22"/>
    </row>
    <row r="282" spans="21:24" x14ac:dyDescent="0.35">
      <c r="U282" s="22"/>
      <c r="V282" s="22"/>
      <c r="W282" s="22"/>
      <c r="X282" s="22"/>
    </row>
    <row r="283" spans="21:24" x14ac:dyDescent="0.35">
      <c r="U283" s="22"/>
      <c r="V283" s="22"/>
      <c r="W283" s="22"/>
      <c r="X283" s="22"/>
    </row>
    <row r="284" spans="21:24" x14ac:dyDescent="0.35">
      <c r="U284" s="22"/>
      <c r="V284" s="22"/>
      <c r="W284" s="22"/>
      <c r="X284" s="22"/>
    </row>
    <row r="285" spans="21:24" x14ac:dyDescent="0.35">
      <c r="U285" s="22"/>
      <c r="V285" s="22"/>
      <c r="W285" s="22"/>
      <c r="X285" s="22"/>
    </row>
    <row r="286" spans="21:24" x14ac:dyDescent="0.35">
      <c r="U286" s="22"/>
      <c r="V286" s="22"/>
      <c r="W286" s="22"/>
      <c r="X286" s="22"/>
    </row>
    <row r="287" spans="21:24" x14ac:dyDescent="0.35">
      <c r="U287" s="22"/>
      <c r="V287" s="22"/>
      <c r="W287" s="22"/>
      <c r="X287" s="22"/>
    </row>
    <row r="288" spans="21:24" x14ac:dyDescent="0.35">
      <c r="U288" s="22"/>
      <c r="V288" s="22"/>
      <c r="W288" s="22"/>
      <c r="X288" s="22"/>
    </row>
    <row r="289" spans="21:24" x14ac:dyDescent="0.35">
      <c r="U289" s="22"/>
      <c r="V289" s="22"/>
      <c r="W289" s="22"/>
      <c r="X289" s="22"/>
    </row>
    <row r="290" spans="21:24" x14ac:dyDescent="0.35">
      <c r="U290" s="22"/>
      <c r="V290" s="22"/>
      <c r="W290" s="22"/>
      <c r="X290" s="22"/>
    </row>
    <row r="291" spans="21:24" x14ac:dyDescent="0.35">
      <c r="U291" s="22"/>
      <c r="V291" s="22"/>
      <c r="W291" s="22"/>
      <c r="X291" s="22"/>
    </row>
    <row r="292" spans="21:24" x14ac:dyDescent="0.35">
      <c r="U292" s="22"/>
      <c r="V292" s="22"/>
      <c r="W292" s="22"/>
      <c r="X292" s="22"/>
    </row>
    <row r="293" spans="21:24" x14ac:dyDescent="0.35">
      <c r="U293" s="22"/>
      <c r="V293" s="22"/>
      <c r="W293" s="22"/>
      <c r="X293" s="22"/>
    </row>
    <row r="294" spans="21:24" x14ac:dyDescent="0.35">
      <c r="U294" s="22"/>
      <c r="V294" s="22"/>
      <c r="W294" s="22"/>
      <c r="X294" s="22"/>
    </row>
    <row r="295" spans="21:24" x14ac:dyDescent="0.35">
      <c r="U295" s="22"/>
      <c r="V295" s="22"/>
      <c r="W295" s="22"/>
      <c r="X295" s="22"/>
    </row>
    <row r="296" spans="21:24" x14ac:dyDescent="0.35">
      <c r="U296" s="22"/>
      <c r="V296" s="22"/>
      <c r="W296" s="22"/>
      <c r="X296" s="22"/>
    </row>
    <row r="297" spans="21:24" x14ac:dyDescent="0.35">
      <c r="U297" s="22"/>
      <c r="V297" s="22"/>
      <c r="W297" s="22"/>
      <c r="X297" s="22"/>
    </row>
    <row r="298" spans="21:24" x14ac:dyDescent="0.35">
      <c r="U298" s="22"/>
      <c r="V298" s="22"/>
      <c r="W298" s="22"/>
      <c r="X298" s="22"/>
    </row>
    <row r="299" spans="21:24" x14ac:dyDescent="0.35">
      <c r="U299" s="22"/>
      <c r="V299" s="22"/>
      <c r="W299" s="22"/>
      <c r="X299" s="22"/>
    </row>
    <row r="300" spans="21:24" x14ac:dyDescent="0.35">
      <c r="U300" s="22"/>
      <c r="V300" s="22"/>
      <c r="W300" s="22"/>
      <c r="X300" s="22"/>
    </row>
    <row r="301" spans="21:24" x14ac:dyDescent="0.35">
      <c r="U301" s="22"/>
      <c r="V301" s="22"/>
      <c r="W301" s="22"/>
      <c r="X301" s="22"/>
    </row>
    <row r="302" spans="21:24" x14ac:dyDescent="0.35">
      <c r="U302" s="22"/>
      <c r="V302" s="22"/>
      <c r="W302" s="22"/>
      <c r="X302" s="22"/>
    </row>
    <row r="303" spans="21:24" x14ac:dyDescent="0.35">
      <c r="U303" s="22"/>
      <c r="V303" s="22"/>
      <c r="W303" s="22"/>
      <c r="X303" s="22"/>
    </row>
    <row r="304" spans="21:24" x14ac:dyDescent="0.35">
      <c r="U304" s="22"/>
      <c r="V304" s="22"/>
      <c r="W304" s="22"/>
      <c r="X304" s="22"/>
    </row>
    <row r="305" spans="21:24" x14ac:dyDescent="0.35">
      <c r="U305" s="22"/>
      <c r="V305" s="22"/>
      <c r="W305" s="22"/>
      <c r="X305" s="22"/>
    </row>
    <row r="306" spans="21:24" x14ac:dyDescent="0.35">
      <c r="U306" s="22"/>
      <c r="V306" s="22"/>
      <c r="W306" s="22"/>
      <c r="X306" s="22"/>
    </row>
    <row r="307" spans="21:24" x14ac:dyDescent="0.35">
      <c r="U307" s="22"/>
      <c r="V307" s="22"/>
      <c r="W307" s="22"/>
      <c r="X307" s="22"/>
    </row>
    <row r="308" spans="21:24" x14ac:dyDescent="0.35">
      <c r="U308" s="22"/>
      <c r="V308" s="22"/>
      <c r="W308" s="22"/>
      <c r="X308" s="22"/>
    </row>
    <row r="309" spans="21:24" x14ac:dyDescent="0.35">
      <c r="U309" s="22"/>
      <c r="V309" s="22"/>
      <c r="W309" s="22"/>
      <c r="X309" s="22"/>
    </row>
    <row r="310" spans="21:24" x14ac:dyDescent="0.35">
      <c r="U310" s="22"/>
      <c r="V310" s="22"/>
      <c r="W310" s="22"/>
      <c r="X310" s="22"/>
    </row>
    <row r="311" spans="21:24" x14ac:dyDescent="0.35">
      <c r="U311" s="22"/>
      <c r="V311" s="22"/>
      <c r="W311" s="22"/>
      <c r="X311" s="22"/>
    </row>
    <row r="312" spans="21:24" x14ac:dyDescent="0.35">
      <c r="U312" s="22"/>
      <c r="V312" s="22"/>
      <c r="W312" s="22"/>
      <c r="X312" s="22"/>
    </row>
    <row r="313" spans="21:24" x14ac:dyDescent="0.35">
      <c r="U313" s="22"/>
      <c r="V313" s="22"/>
      <c r="W313" s="22"/>
      <c r="X313" s="22"/>
    </row>
    <row r="314" spans="21:24" x14ac:dyDescent="0.35">
      <c r="U314" s="22"/>
      <c r="V314" s="22"/>
      <c r="W314" s="22"/>
      <c r="X314" s="22"/>
    </row>
    <row r="315" spans="21:24" x14ac:dyDescent="0.35">
      <c r="U315" s="22"/>
      <c r="V315" s="22"/>
      <c r="W315" s="22"/>
      <c r="X315" s="22"/>
    </row>
    <row r="316" spans="21:24" x14ac:dyDescent="0.35">
      <c r="U316" s="22"/>
      <c r="V316" s="22"/>
      <c r="W316" s="22"/>
      <c r="X316" s="22"/>
    </row>
    <row r="317" spans="21:24" x14ac:dyDescent="0.35">
      <c r="U317" s="22"/>
      <c r="V317" s="22"/>
      <c r="W317" s="22"/>
      <c r="X317" s="22"/>
    </row>
    <row r="318" spans="21:24" x14ac:dyDescent="0.35">
      <c r="U318" s="22"/>
      <c r="V318" s="22"/>
      <c r="W318" s="22"/>
      <c r="X318" s="22"/>
    </row>
    <row r="319" spans="21:24" x14ac:dyDescent="0.35">
      <c r="U319" s="22"/>
      <c r="V319" s="22"/>
      <c r="W319" s="22"/>
      <c r="X319" s="22"/>
    </row>
    <row r="320" spans="21:24" x14ac:dyDescent="0.35">
      <c r="U320" s="22"/>
      <c r="V320" s="22"/>
      <c r="W320" s="22"/>
      <c r="X320" s="22"/>
    </row>
    <row r="321" spans="21:24" x14ac:dyDescent="0.35">
      <c r="U321" s="22"/>
      <c r="V321" s="22"/>
      <c r="W321" s="22"/>
      <c r="X321" s="22"/>
    </row>
    <row r="322" spans="21:24" x14ac:dyDescent="0.35">
      <c r="U322" s="22"/>
      <c r="V322" s="22"/>
      <c r="W322" s="22"/>
      <c r="X322" s="22"/>
    </row>
  </sheetData>
  <mergeCells count="16">
    <mergeCell ref="B62:C62"/>
    <mergeCell ref="A58:A61"/>
    <mergeCell ref="A18:A24"/>
    <mergeCell ref="A2:A10"/>
    <mergeCell ref="J2:O2"/>
    <mergeCell ref="Q2:U2"/>
    <mergeCell ref="A11:A17"/>
    <mergeCell ref="J12:K12"/>
    <mergeCell ref="Q12:S12"/>
    <mergeCell ref="L19:O21"/>
    <mergeCell ref="A25:A30"/>
    <mergeCell ref="A31:A36"/>
    <mergeCell ref="A37:A43"/>
    <mergeCell ref="A44:A48"/>
    <mergeCell ref="A49:A52"/>
    <mergeCell ref="A53:A5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NITRO 5</cp:lastModifiedBy>
  <dcterms:created xsi:type="dcterms:W3CDTF">2025-07-09T20:28:47Z</dcterms:created>
  <dcterms:modified xsi:type="dcterms:W3CDTF">2025-07-11T17:18:16Z</dcterms:modified>
</cp:coreProperties>
</file>